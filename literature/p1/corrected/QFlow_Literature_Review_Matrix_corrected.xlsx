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ca42698ca48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Review Matrix" sheetId="1" r:id="Rfed260778f1f4ac0"/>
    <x:sheet xmlns:r="http://schemas.openxmlformats.org/officeDocument/2006/relationships" name="Gap Analysis &amp; QFlow Positionin" sheetId="2" r:id="R83223909749c448c"/>
    <x:sheet xmlns:r="http://schemas.openxmlformats.org/officeDocument/2006/relationships" name="Statistics Dashboard" sheetId="3" r:id="Rf6db300f71f74fef"/>
    <x:sheet xmlns:r="http://schemas.openxmlformats.org/officeDocument/2006/relationships" name="Comparison Rules" sheetId="4" r:id="R8f5b859d07db4c92"/>
    <x:sheet xmlns:r="http://schemas.openxmlformats.org/officeDocument/2006/relationships" name="Claim Register" sheetId="5" r:id="R5b3eb678a3b244fc"/>
    <x:sheet xmlns:r="http://schemas.openxmlformats.org/officeDocument/2006/relationships" name="Search Log" sheetId="6" r:id="R0f4936e62e9c4b19"/>
    <x:sheet xmlns:r="http://schemas.openxmlformats.org/officeDocument/2006/relationships" name="Audit Trail" sheetId="7" r:id="Rd9cb08eeb2a84377"/>
    <x:sheet xmlns:r="http://schemas.openxmlformats.org/officeDocument/2006/relationships" name="README" sheetId="8" r:id="Rfe065e31eb5447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75467"/>
      <x:name val="Carlito"/>
    </x:font>
    <x:font>
      <x:b/>
      <x:sz val="10"/>
      <x:color rgb="FFFFFFFF"/>
      <x:name val="Carlito"/>
    </x:font>
    <x:font>
      <x:sz val="9"/>
      <x:color rgb="FF101828"/>
      <x:name val="Carlito"/>
    </x:font>
    <x:font>
      <x:b/>
      <x:sz val="10"/>
      <x:color rgb="FF0E1F33"/>
      <x:name val="Carlito"/>
    </x:font>
    <x:font>
      <x:b/>
      <x:sz val="9"/>
      <x:color rgb="FF0E1F33"/>
      <x:name val="Carlito"/>
    </x:font>
    <x:font>
      <x:b/>
      <x:sz val="12"/>
      <x:color rgb="FFFFFFFF"/>
      <x:name val="Carlito"/>
    </x:font>
    <x:font>
      <x:b/>
      <x:sz val="9"/>
      <x:color rgb="FFB42318"/>
      <x:name val="Carlito"/>
    </x:font>
    <x:font>
      <x:b/>
      <x:sz val="11"/>
      <x:color rgb="FF0B7A75"/>
      <x:name val="Carlito"/>
    </x:font>
    <x:font>
      <x:b/>
      <x:sz val="10"/>
      <x:color rgb="FF0B7A7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E1F33"/>
      </x:patternFill>
    </x:fill>
    <x:fill>
      <x:patternFill patternType="solid">
        <x:fgColor rgb="FFEAF2F8"/>
      </x:patternFill>
    </x:fill>
    <x:fill>
      <x:patternFill patternType="solid">
        <x:fgColor rgb="FF244E7D"/>
      </x:patternFill>
    </x:fill>
    <x:fill>
      <x:patternFill patternType="solid">
        <x:fgColor rgb="FFFFF4CC"/>
      </x:patternFill>
    </x:fill>
    <x:fill>
      <x:patternFill patternType="solid">
        <x:fgColor rgb="FFE8F5F2"/>
      </x:patternFill>
    </x:fill>
    <x:fill>
      <x:patternFill patternType="solid">
        <x:fgColor rgb="FFFDECEC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7" fillId="2" borderId="0" xfId="0" applyNumberFormat="1" applyFont="1" applyFill="1" applyBorder="1" applyAlignment="1">
      <x:alignment horizontal="left" vertical="center"/>
    </x:xf>
    <x:xf numFmtId="0" fontId="4" fillId="7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horizontal="center"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horizontal="center" vertical="top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ad9098e6854358" /><Relationship Type="http://schemas.openxmlformats.org/officeDocument/2006/relationships/theme" Target="/xl/theme/theme1.xml" Id="Ra1383a1179c74481" /><Relationship Type="http://schemas.openxmlformats.org/officeDocument/2006/relationships/sharedStrings" Target="/xl/sharedStrings.xml" Id="R15fdbb2d862b4e94" /><Relationship Type="http://schemas.openxmlformats.org/officeDocument/2006/relationships/worksheet" Target="/xl/worksheets/sheet1.xml" Id="Rfed260778f1f4ac0" /><Relationship Type="http://schemas.openxmlformats.org/officeDocument/2006/relationships/worksheet" Target="/xl/worksheets/sheet2.xml" Id="R83223909749c448c" /><Relationship Type="http://schemas.openxmlformats.org/officeDocument/2006/relationships/worksheet" Target="/xl/worksheets/sheet3.xml" Id="Rf6db300f71f74fef" /><Relationship Type="http://schemas.openxmlformats.org/officeDocument/2006/relationships/worksheet" Target="/xl/worksheets/sheet4.xml" Id="R8f5b859d07db4c92" /><Relationship Type="http://schemas.openxmlformats.org/officeDocument/2006/relationships/worksheet" Target="/xl/worksheets/sheet5.xml" Id="R5b3eb678a3b244fc" /><Relationship Type="http://schemas.openxmlformats.org/officeDocument/2006/relationships/worksheet" Target="/xl/worksheets/sheet6.xml" Id="R0f4936e62e9c4b19" /><Relationship Type="http://schemas.openxmlformats.org/officeDocument/2006/relationships/worksheet" Target="/xl/worksheets/sheet7.xml" Id="Rd9cb08eeb2a84377" /><Relationship Type="http://schemas.openxmlformats.org/officeDocument/2006/relationships/worksheet" Target="/xl/worksheets/sheet8.xml" Id="Rfe065e31eb54477c" /></Relationships>
</file>

<file path=xl/tables/table1.xml><?xml version="1.0" encoding="utf-8"?>
<x:table xmlns:x="http://schemas.openxmlformats.org/spreadsheetml/2006/main" id="1" name="CorrectedLiteratureTable" displayName="CorrectedLiteratureTable" ref="A3:U53" headerRowCount="1" totalsRowCount="0" totalsRowShown="0">
  <x:tableColumns count="21">
    <x:tableColumn id="1" name="Audit ID"/>
    <x:tableColumn id="2" name="Category"/>
    <x:tableColumn id="3" name="Verified Title"/>
    <x:tableColumn id="4" name="Verified Authors"/>
    <x:tableColumn id="5" name="Year"/>
    <x:tableColumn id="6" name="Verified Venue"/>
    <x:tableColumn id="7" name="Comparison Class"/>
    <x:tableColumn id="8" name="Implementation Platform"/>
    <x:tableColumn id="9" name="Evidence Layer"/>
    <x:tableColumn id="10" name="Corrected Method Summary"/>
    <x:tableColumn id="11" name="Corrected Metrics Summary"/>
    <x:tableColumn id="12" name="Corrected Limitations / Scope"/>
    <x:tableColumn id="13" name="Corrected Relevance to QFlow"/>
    <x:tableColumn id="14" name="Latency Status"/>
    <x:tableColumn id="15" name="Identity Status"/>
    <x:tableColumn id="16" name="Metrics Status"/>
    <x:tableColumn id="17" name="Verification Status"/>
    <x:tableColumn id="18" name="DOI / Identifier"/>
    <x:tableColumn id="19" name="Primary Source URL"/>
    <x:tableColumn id="20" name="Verification Date"/>
    <x:tableColumn id="21" name="Hold / Exclusion 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EvidenceTable" displayName="GapEvidenceTable" ref="A3:G10" headerRowCount="1" totalsRowCount="0" totalsRowShown="0">
  <x:tableColumns count="7">
    <x:tableColumn id="1" name="Evidence Boundary"/>
    <x:tableColumn id="2" name="Audited Records"/>
    <x:tableColumn id="3" name="What the Evidence Supports"/>
    <x:tableColumn id="4" name="What It Does Not Support"/>
    <x:tableColumn id="5" name="Required QFlow Comparison"/>
    <x:tableColumn id="6" name="Class"/>
    <x:tableColumn id="7" name="Disposi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aimGuardTable" displayName="ClaimGuardTable" ref="A14:C20" headerRowCount="1" totalsRowCount="0" totalsRowShown="0">
  <x:tableColumns count="3">
    <x:tableColumn id="1" name="Guard"/>
    <x:tableColumn id="2" name="Status"/>
    <x:tableColumn id="3" name="Defense-Safe Ru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tisticsTable" displayName="StatisticsTable" ref="A3:C15" headerRowCount="1" totalsRowCount="0" totalsRowShown="0">
  <x:tableColumns count="3">
    <x:tableColumn id="1" name="Metric"/>
    <x:tableColumn id="2" name="Value"/>
    <x:tableColumn id="3" name="Interpre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parisonClassTable" displayName="ComparisonClassTable" ref="A3:E7" headerRowCount="1" totalsRowCount="0" totalsRowShown="0">
  <x:tableColumns count="5">
    <x:tableColumn id="1" name="Class"/>
    <x:tableColumn id="2" name="Question"/>
    <x:tableColumn id="3" name="Required Match"/>
    <x:tableColumn id="4" name="Allowed Conclusion"/>
    <x:tableColumn id="5" name="Current P1 Literature 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rdwareBaselineTable" displayName="HardwareBaselineTable" ref="A11:E16" headerRowCount="1" totalsRowCount="0" totalsRowShown="0">
  <x:tableColumns count="5">
    <x:tableColumn id="1" name="ID"/>
    <x:tableColumn id="2" name="Controller"/>
    <x:tableColumn id="3" name="Purpose"/>
    <x:tableColumn id="4" name="Shared Contract"/>
    <x:tableColumn id="5" name="Comparison Clas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laimRegisterTable" displayName="ClaimRegisterTable" ref="A3:H11" headerRowCount="1" totalsRowCount="0" totalsRowShown="0">
  <x:tableColumns count="8">
    <x:tableColumn id="1" name="claim_id"/>
    <x:tableColumn id="2" name="current_location"/>
    <x:tableColumn id="3" name="original_claim"/>
    <x:tableColumn id="4" name="comparison_class"/>
    <x:tableColumn id="5" name="risk"/>
    <x:tableColumn id="6" name="required_action"/>
    <x:tableColumn id="7" name="status"/>
    <x:tableColumn id="8" name="replacement_or_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earchLogTable" displayName="SearchLogTable" ref="A3:K53" headerRowCount="1" totalsRowCount="0" totalsRowShown="0">
  <x:tableColumns count="11">
    <x:tableColumn id="1" name="search_id"/>
    <x:tableColumn id="2" name="search_date"/>
    <x:tableColumn id="3" name="database_or_publisher"/>
    <x:tableColumn id="4" name="exact_query"/>
    <x:tableColumn id="5" name="filters"/>
    <x:tableColumn id="6" name="results_returned"/>
    <x:tableColumn id="7" name="records_screened"/>
    <x:tableColumn id="8" name="included_audit_ids"/>
    <x:tableColumn id="9" name="excluded_count"/>
    <x:tableColumn id="10" name="exclusion_codes"/>
    <x:tableColumn id="11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ullAuditTrailTable" displayName="FullAuditTrailTable" ref="A3:AG53" headerRowCount="1" totalsRowCount="0" totalsRowShown="0">
  <x:tableColumns count="33">
    <x:tableColumn id="1" name="audit_id"/>
    <x:tableColumn id="2" name="source_xlsx_row"/>
    <x:tableColumn id="3" name="original_no"/>
    <x:tableColumn id="4" name="original_category"/>
    <x:tableColumn id="5" name="original_title"/>
    <x:tableColumn id="6" name="original_authors"/>
    <x:tableColumn id="7" name="original_year"/>
    <x:tableColumn id="8" name="original_venue"/>
    <x:tableColumn id="9" name="original_method_claim"/>
    <x:tableColumn id="10" name="original_metrics_claim"/>
    <x:tableColumn id="11" name="original_limitations_claim"/>
    <x:tableColumn id="12" name="original_relevance_claim"/>
    <x:tableColumn id="13" name="verified_title"/>
    <x:tableColumn id="14" name="verified_authors"/>
    <x:tableColumn id="15" name="verified_year"/>
    <x:tableColumn id="16" name="verified_venue"/>
    <x:tableColumn id="17" name="comparison_class"/>
    <x:tableColumn id="18" name="implementation_platform"/>
    <x:tableColumn id="19" name="evidence_layer"/>
    <x:tableColumn id="20" name="identity_status"/>
    <x:tableColumn id="21" name="metrics_status"/>
    <x:tableColumn id="22" name="latency_status"/>
    <x:tableColumn id="23" name="direct_source_url"/>
    <x:tableColumn id="24" name="doi_or_identifier"/>
    <x:tableColumn id="25" name="verification_scope"/>
    <x:tableColumn id="26" name="verification_date"/>
    <x:tableColumn id="27" name="corrected_method_summary"/>
    <x:tableColumn id="28" name="corrected_metrics_summary"/>
    <x:tableColumn id="29" name="corrected_limitations_summary"/>
    <x:tableColumn id="30" name="corrected_relevance_to_qflow"/>
    <x:tableColumn id="31" name="verification_status"/>
    <x:tableColumn id="32" name="exclusion_or_hold_reason"/>
    <x:tableColumn id="33" name="reviewer_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admeTable" displayName="ReadmeTable" ref="A3:D15" headerRowCount="1" totalsRowCount="0" totalsRowShown="0">
  <x:tableColumns count="4">
    <x:tableColumn id="1" name="Item"/>
    <x:tableColumn id="2" name="Value"/>
    <x:tableColumn id="3" name="Status"/>
    <x:tableColumn id="4" name="Use 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89c9292aee46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f9b52ba51d4ca5" /><Relationship Type="http://schemas.openxmlformats.org/officeDocument/2006/relationships/table" Target="/xl/tables/table3.xml" Id="R89727a2130b54b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3888fd5983bd4b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6ad22d889d404c3c" /><Relationship Type="http://schemas.openxmlformats.org/officeDocument/2006/relationships/table" Target="/xl/tables/table6.xml" Id="R3eccc103a87343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21544a13d7194f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f1e91f6f054a45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dad7c11d45164a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a8c2c783fbba497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2" hidden="0" customWidth="1"/>
    <x:col min="4" max="4" width="28" hidden="0" customWidth="1"/>
    <x:col min="5" max="5" width="8" hidden="0" customWidth="1"/>
    <x:col min="6" max="6" width="25" hidden="0" customWidth="1"/>
    <x:col min="7" max="7" width="12" hidden="0" customWidth="1"/>
    <x:col min="8" max="8" width="24" hidden="0" customWidth="1"/>
    <x:col min="9" max="9" width="20" hidden="0" customWidth="1"/>
    <x:col min="10" max="10" width="38" hidden="0" customWidth="1"/>
    <x:col min="11" max="11" width="42" hidden="0" customWidth="1"/>
    <x:col min="12" max="12" width="38" hidden="0" customWidth="1"/>
    <x:col min="13" max="13" width="38" hidden="0" customWidth="1"/>
    <x:col min="14" max="14" width="27" hidden="0" customWidth="1"/>
    <x:col min="15" max="15" width="27" hidden="0" customWidth="1"/>
    <x:col min="16" max="16" width="25" hidden="0" customWidth="1"/>
    <x:col min="17" max="17" width="25" hidden="0" customWidth="1"/>
    <x:col min="18" max="18" width="23" hidden="0" customWidth="1"/>
    <x:col min="19" max="19" width="38" hidden="0" customWidth="1"/>
    <x:col min="20" max="20" width="14" hidden="0" customWidth="1"/>
    <x:col min="21" max="21" width="30" hidden="0" customWidth="1"/>
  </x:cols>
  <x:sheetData>
    <x:row r="1" ht="30" customHeight="1">
      <x:c r="A1" s="38" t="str">
        <x:v>QFlow Literature Review Matrix — Corrected and Evidence-Controlled</x:v>
      </x:c>
      <x:c r="B1" s="38" t="str">
        <x:v>QFlow Literature Review Matrix — Corrected and Evidence-Controlled</x:v>
      </x:c>
      <x:c r="C1" s="38" t="str">
        <x:v>QFlow Literature Review Matrix — Corrected and Evidence-Controlled</x:v>
      </x:c>
      <x:c r="D1" s="38" t="str">
        <x:v>QFlow Literature Review Matrix — Corrected and Evidence-Controlled</x:v>
      </x:c>
      <x:c r="E1" s="38" t="str">
        <x:v>QFlow Literature Review Matrix — Corrected and Evidence-Controlled</x:v>
      </x:c>
      <x:c r="F1" s="38" t="str">
        <x:v>QFlow Literature Review Matrix — Corrected and Evidence-Controlled</x:v>
      </x:c>
      <x:c r="G1" s="38" t="str">
        <x:v>QFlow Literature Review Matrix — Corrected and Evidence-Controlled</x:v>
      </x:c>
      <x:c r="H1" s="38" t="str">
        <x:v>QFlow Literature Review Matrix — Corrected and Evidence-Controlled</x:v>
      </x:c>
      <x:c r="I1" s="38" t="str">
        <x:v>QFlow Literature Review Matrix — Corrected and Evidence-Controlled</x:v>
      </x:c>
      <x:c r="J1" s="38" t="str">
        <x:v>QFlow Literature Review Matrix — Corrected and Evidence-Controlled</x:v>
      </x:c>
      <x:c r="K1" s="38" t="str">
        <x:v>QFlow Literature Review Matrix — Corrected and Evidence-Controlled</x:v>
      </x:c>
      <x:c r="L1" s="38" t="str">
        <x:v>QFlow Literature Review Matrix — Corrected and Evidence-Controlled</x:v>
      </x:c>
      <x:c r="M1" s="38" t="str">
        <x:v>QFlow Literature Review Matrix — Corrected and Evidence-Controlled</x:v>
      </x:c>
      <x:c r="N1" s="38" t="str">
        <x:v>QFlow Literature Review Matrix — Corrected and Evidence-Controlled</x:v>
      </x:c>
      <x:c r="O1" s="38" t="str">
        <x:v>QFlow Literature Review Matrix — Corrected and Evidence-Controlled</x:v>
      </x:c>
      <x:c r="P1" s="38" t="str">
        <x:v>QFlow Literature Review Matrix — Corrected and Evidence-Controlled</x:v>
      </x:c>
      <x:c r="Q1" s="38" t="str">
        <x:v>QFlow Literature Review Matrix — Corrected and Evidence-Controlled</x:v>
      </x:c>
      <x:c r="R1" s="38" t="str">
        <x:v>QFlow Literature Review Matrix — Corrected and Evidence-Controlled</x:v>
      </x:c>
      <x:c r="S1" s="38" t="str">
        <x:v>QFlow Literature Review Matrix — Corrected and Evidence-Controlled</x:v>
      </x:c>
      <x:c r="T1" s="38" t="str">
        <x:v>QFlow Literature Review Matrix — Corrected and Evidence-Controlled</x:v>
      </x:c>
      <x:c r="U1" s="38" t="str">
        <x:v>QFlow Literature Review Matrix — Corrected and Evidence-Controlled</x:v>
      </x:c>
    </x:row>
    <x:row r="2" ht="28" customHeight="1">
      <x:c r="A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  <x:c r="B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  <x:c r="C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  <x:c r="D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  <x:c r="E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  <x:c r="F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  <x:c r="G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  <x:c r="H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  <x:c r="I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  <x:c r="J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  <x:c r="K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  <x:c r="L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  <x:c r="M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  <x:c r="N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  <x:c r="O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  <x:c r="P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  <x:c r="Q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  <x:c r="R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  <x:c r="S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  <x:c r="T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  <x:c r="U2" s="9" t="str">
        <x:v>Generated from the immutable source workbook (SHA-256 45f7f4f544897998f5f869a4d2904fd3755eae9a440903fa016a6969c6b97df1) and final 50-row audit (SHA-256 c35b626f628fd0e72aaf7b9763733184473686ebe78977b468ea0c8edd68ae61). Measured/reported evidence only; absent latency is explicitly marked as not reported.</x:v>
      </x:c>
    </x:row>
    <x:row r="3" ht="32" customHeight="1">
      <x:c r="A3" s="14" t="str">
        <x:v>Audit ID</x:v>
      </x:c>
      <x:c r="B3" s="14" t="str">
        <x:v>Category</x:v>
      </x:c>
      <x:c r="C3" s="14" t="str">
        <x:v>Verified Title</x:v>
      </x:c>
      <x:c r="D3" s="14" t="str">
        <x:v>Verified Authors</x:v>
      </x:c>
      <x:c r="E3" s="14" t="str">
        <x:v>Year</x:v>
      </x:c>
      <x:c r="F3" s="14" t="str">
        <x:v>Verified Venue</x:v>
      </x:c>
      <x:c r="G3" s="14" t="str">
        <x:v>Comparison Class</x:v>
      </x:c>
      <x:c r="H3" s="14" t="str">
        <x:v>Implementation Platform</x:v>
      </x:c>
      <x:c r="I3" s="14" t="str">
        <x:v>Evidence Layer</x:v>
      </x:c>
      <x:c r="J3" s="14" t="str">
        <x:v>Corrected Method Summary</x:v>
      </x:c>
      <x:c r="K3" s="14" t="str">
        <x:v>Corrected Metrics Summary</x:v>
      </x:c>
      <x:c r="L3" s="14" t="str">
        <x:v>Corrected Limitations / Scope</x:v>
      </x:c>
      <x:c r="M3" s="14" t="str">
        <x:v>Corrected Relevance to QFlow</x:v>
      </x:c>
      <x:c r="N3" s="14" t="str">
        <x:v>Latency Status</x:v>
      </x:c>
      <x:c r="O3" s="14" t="str">
        <x:v>Identity Status</x:v>
      </x:c>
      <x:c r="P3" s="14" t="str">
        <x:v>Metrics Status</x:v>
      </x:c>
      <x:c r="Q3" s="14" t="str">
        <x:v>Verification Status</x:v>
      </x:c>
      <x:c r="R3" s="14" t="str">
        <x:v>DOI / Identifier</x:v>
      </x:c>
      <x:c r="S3" s="14" t="str">
        <x:v>Primary Source URL</x:v>
      </x:c>
      <x:c r="T3" s="14" t="str">
        <x:v>Verification Date</x:v>
      </x:c>
      <x:c r="U3" s="14" t="str">
        <x:v>Hold / Exclusion Reason</x:v>
      </x:c>
    </x:row>
    <x:row r="4">
      <x:c r="A4" s="18" t="str">
        <x:v>P001</x:v>
      </x:c>
      <x:c r="B4" s="18" t="str">
        <x:v>QKD Routing Algorithms</x:v>
      </x:c>
      <x:c r="C4" s="17" t="str">
        <x:v>Adaptive Routing for Meshed QKD Networks of Flexible Size Using Deep Reinforcement Learning</x:v>
      </x:c>
      <x:c r="D4" s="17" t="str">
        <x:v>Tim Johann; Sebastian Kühl; Stephan Pachnicke</x:v>
      </x:c>
      <x:c r="E4" s="17" t="str">
        <x:v>2026</x:v>
      </x:c>
      <x:c r="F4" s="17" t="str">
        <x:v>Photonics 13(2), Article 198</x:v>
      </x:c>
      <x:c r="G4" s="21" t="str">
        <x:v>C</x:v>
      </x:c>
      <x:c r="H4" s="17" t="str">
        <x:v>CPU software; network simulation</x:v>
      </x:c>
      <x:c r="I4" s="17" t="str">
        <x:v>Network simulation</x:v>
      </x:c>
      <x:c r="J4" s="17" t="str">
        <x:v>A GAT-based DRL agent performs hop-wise routing and generalizes across meshed QKD topologies.</x:v>
      </x:c>
      <x:c r="K4" s="17" t="str">
        <x:v>In the reported 14-node NSFNET simulation, the agent achieved up to 18.7% higher mean key-store filling than weighted shortest path and avoided key-store depletion in the evaluated case.</x:v>
      </x:c>
      <x:c r="L4" s="17" t="str">
        <x:v>Simulation study; no FPGA/ASIC routing datapath and no reported inference latency.</x:v>
      </x:c>
      <x:c r="M4" s="17" t="str">
        <x:v>Class C algorithmic counterpart for load-aware routing; not a raw CPU-versus-FPGA speed baseline.</x:v>
      </x:c>
      <x:c r="N4" s="22" t="str">
        <x:v>Not reported for inference/decision runtime</x:v>
      </x:c>
      <x:c r="O4" s="22" t="str">
        <x:v>Verified from publisher full text</x:v>
      </x:c>
      <x:c r="P4" s="22" t="str">
        <x:v>Verified from publisher full text</x:v>
      </x:c>
      <x:c r="Q4" s="22" t="str">
        <x:v>Verified</x:v>
      </x:c>
      <x:c r="R4" s="17" t="str">
        <x:v>10.3390/photonics13020198</x:v>
      </x:c>
      <x:c r="S4" s="17" t="str">
        <x:v>https://www.mdpi.com/2304-6732/13/2/198</x:v>
      </x:c>
      <x:c r="T4" s="17" t="str">
        <x:v>2026-07-17</x:v>
      </x:c>
      <x:c r="U4" s="17" t="str"/>
    </x:row>
    <x:row r="5">
      <x:c r="A5" s="18" t="str">
        <x:v>P002</x:v>
      </x:c>
      <x:c r="B5" s="18" t="str">
        <x:v>QKD Routing Algorithms</x:v>
      </x:c>
      <x:c r="C5" s="17" t="str">
        <x:v>Overview of Routing Approaches in Quantum Key Distribution Networks</x:v>
      </x:c>
      <x:c r="D5" s="17" t="str">
        <x:v>Ivan Cvitić; Dragan Peraković; Armando Nolasco Pinto</x:v>
      </x:c>
      <x:c r="E5" s="17" t="str">
        <x:v>2025</x:v>
      </x:c>
      <x:c r="F5" s="17" t="str">
        <x:v>arXiv:2511.15465</x:v>
      </x:c>
      <x:c r="G5" s="21" t="str">
        <x:v>C</x:v>
      </x:c>
      <x:c r="H5" s="17" t="str">
        <x:v>Survey/review</x:v>
      </x:c>
      <x:c r="I5" s="17" t="str">
        <x:v>Survey synthesis</x:v>
      </x:c>
      <x:c r="J5" s="17" t="str">
        <x:v>Survey and classification of 26 QKD-routing strategies proposed from 2013 to 2024.</x:v>
      </x:c>
      <x:c r="K5" s="17" t="str">
        <x:v>The abstract reports 25-40% lower service rejection for dynamic key-aware routing and 30-60% higher key consumption for multipath approaches.</x:v>
      </x:c>
      <x:c r="L5" s="17" t="str">
        <x:v>Survey/preprint; it does not establish that every reviewed strategy is software or that all operate at millisecond latency.</x:v>
      </x:c>
      <x:c r="M5" s="17" t="str">
        <x:v>Useful for Class C routing taxonomy and search seeds; cannot independently prove a universal hardware gap.</x:v>
      </x:c>
      <x:c r="N5" s="22" t="str">
        <x:v>Not reported</x:v>
      </x:c>
      <x:c r="O5" s="22" t="str">
        <x:v>Verified from official arXiv record and manuscript</x:v>
      </x:c>
      <x:c r="P5" s="22" t="str">
        <x:v>Abstract-level quantitative statements verified</x:v>
      </x:c>
      <x:c r="Q5" s="22" t="str">
        <x:v>Verified with claim restriction</x:v>
      </x:c>
      <x:c r="R5" s="17" t="str">
        <x:v>10.48550/arXiv.2511.15465</x:v>
      </x:c>
      <x:c r="S5" s="17" t="str">
        <x:v>https://arxiv.org/abs/2511.15465</x:v>
      </x:c>
      <x:c r="T5" s="17" t="str">
        <x:v>2026-07-17</x:v>
      </x:c>
      <x:c r="U5" s="17" t="str">
        <x:v>Universal 'all software' and millisecond-latency claims are not supported by the located text.</x:v>
      </x:c>
    </x:row>
    <x:row r="6">
      <x:c r="A6" s="18" t="str">
        <x:v>P003</x:v>
      </x:c>
      <x:c r="B6" s="18" t="str">
        <x:v>QKD Routing Algorithms</x:v>
      </x:c>
      <x:c r="C6" s="17" t="str">
        <x:v>Deep reinforcement learning-based routing and resource assignment in quantum key distribution-secured optical networks</x:v>
      </x:c>
      <x:c r="D6" s="17" t="str">
        <x:v>Purva Sharma; Shubham Gupta; Vimal Bhatia; Shashi Prakash</x:v>
      </x:c>
      <x:c r="E6" s="17" t="str">
        <x:v>2023</x:v>
      </x:c>
      <x:c r="F6" s="17" t="str">
        <x:v>IET Quantum Communication 4, 136-145</x:v>
      </x:c>
      <x:c r="G6" s="21" t="str">
        <x:v>C</x:v>
      </x:c>
      <x:c r="H6" s="17" t="str">
        <x:v>CPU software; network simulation</x:v>
      </x:c>
      <x:c r="I6" s="17" t="str">
        <x:v>Network simulation</x:v>
      </x:c>
      <x:c r="J6" s="17" t="str">
        <x:v>A PPO-based DRL routing and resource-assignment scheme is compared with DQN, first-fit and random-fit on NSFNET and UBN24.</x:v>
      </x:c>
      <x:c r="K6" s="17" t="str">
        <x:v>Reported blocking reductions versus DQN/FF/RF are 7.19%/10.11%/33.50% on NSFNET and 2.47%/3.20%/19.60% on UBN24; resource-utilization improvements are also reported.</x:v>
      </x:c>
      <x:c r="L6" s="17" t="str">
        <x:v>Simulation-only RRA evaluation; no hardware routing implementation and no reported inference latency.</x:v>
      </x:c>
      <x:c r="M6" s="17" t="str">
        <x:v>Class C DRL-RRA counterpart; compare network utility only under matched traces, not timing against FPGA.</x:v>
      </x:c>
      <x:c r="N6" s="22" t="str">
        <x:v>Not reported for inference/decision runtime</x:v>
      </x:c>
      <x:c r="O6" s="22" t="str">
        <x:v>Verified from publisher paper</x:v>
      </x:c>
      <x:c r="P6" s="22" t="str">
        <x:v>Quantitative results verified from full text</x:v>
      </x:c>
      <x:c r="Q6" s="22" t="str">
        <x:v>Verified</x:v>
      </x:c>
      <x:c r="R6" s="17" t="str">
        <x:v>10.1049/qtc2.12063</x:v>
      </x:c>
      <x:c r="S6" s="17" t="str">
        <x:v>https://ietresearch.onlinelibrary.wiley.com/doi/10.1049/qtc2.12063</x:v>
      </x:c>
      <x:c r="T6" s="17" t="str">
        <x:v>2026-07-17</x:v>
      </x:c>
      <x:c r="U6" s="17" t="str"/>
    </x:row>
    <x:row r="7">
      <x:c r="A7" s="18" t="str">
        <x:v>P004</x:v>
      </x:c>
      <x:c r="B7" s="18" t="str">
        <x:v>QKD Routing Algorithms</x:v>
      </x:c>
      <x:c r="C7" s="17" t="str">
        <x:v>A quantum key distribution routing scheme for hybrid-trusted QKD network system</x:v>
      </x:c>
      <x:c r="D7" s="17" t="str">
        <x:v>Li-Quan Chen; Jing-Qi Chen; Qian-Ye Chen; Yong-Li Zhao</x:v>
      </x:c>
      <x:c r="E7" s="17" t="str">
        <x:v>2023</x:v>
      </x:c>
      <x:c r="F7" s="17" t="str">
        <x:v>Quantum Information Processing 22, Article 75</x:v>
      </x:c>
      <x:c r="G7" s="21" t="str">
        <x:v>C</x:v>
      </x:c>
      <x:c r="H7" s="17" t="str">
        <x:v>Software algorithm; numerical simulation</x:v>
      </x:c>
      <x:c r="I7" s="17" t="str">
        <x:v>Network simulation</x:v>
      </x:c>
      <x:c r="J7" s="17" t="str">
        <x:v>A routing scheme for hybrid-trusted QKD networks considers path selection and key-resource use.</x:v>
      </x:c>
      <x:c r="K7" s="17" t="str">
        <x:v>The publisher source supports comparative simulation claims, but this audit retains no cross-paper normalized percentage.</x:v>
      </x:c>
      <x:c r="L7" s="17" t="str">
        <x:v>Software/simulation work; no measured hardware decision latency.</x:v>
      </x:c>
      <x:c r="M7" s="17" t="str">
        <x:v>Class C multipath/hybrid-trust counterpart; motivates security- and resource-aware baselines.</x:v>
      </x:c>
      <x:c r="N7" s="22" t="str">
        <x:v>Not reported</x:v>
      </x:c>
      <x:c r="O7" s="22" t="str">
        <x:v>Verified from publisher page</x:v>
      </x:c>
      <x:c r="P7" s="22" t="str">
        <x:v>Method and qualitative outcome verified; no normalized numeric claim retained</x:v>
      </x:c>
      <x:c r="Q7" s="22" t="str">
        <x:v>Verified</x:v>
      </x:c>
      <x:c r="R7" s="17" t="str">
        <x:v>10.1007/s11128-022-03825-x</x:v>
      </x:c>
      <x:c r="S7" s="17" t="str">
        <x:v>https://link.springer.com/article/10.1007/s11128-022-03825-x</x:v>
      </x:c>
      <x:c r="T7" s="17" t="str">
        <x:v>2026-07-17</x:v>
      </x:c>
      <x:c r="U7" s="17" t="str"/>
    </x:row>
    <x:row r="8">
      <x:c r="A8" s="18" t="str">
        <x:v>P005</x:v>
      </x:c>
      <x:c r="B8" s="18" t="str">
        <x:v>QKD Routing Algorithms</x:v>
      </x:c>
      <x:c r="C8" s="17" t="str">
        <x:v>A Dynamic-Routing Algorithm Based on a Virtual Quantum Key Distribution Network</x:v>
      </x:c>
      <x:c r="D8" s="17" t="str">
        <x:v>Lin Bi; Minghui Miao; Xiaoqiang Di</x:v>
      </x:c>
      <x:c r="E8" s="17" t="str">
        <x:v>2023</x:v>
      </x:c>
      <x:c r="F8" s="17" t="str">
        <x:v>Applied Sciences 13(15), Article 8690</x:v>
      </x:c>
      <x:c r="G8" s="21" t="str">
        <x:v>C</x:v>
      </x:c>
      <x:c r="H8" s="17" t="str">
        <x:v>Software algorithm; network simulation</x:v>
      </x:c>
      <x:c r="I8" s="17" t="str">
        <x:v>Network simulation</x:v>
      </x:c>
      <x:c r="J8" s="17" t="str">
        <x:v>Dynamic routing uses an adjustable quantum-key-pool model, residual keys and link-blocking information.</x:v>
      </x:c>
      <x:c r="K8" s="17" t="str">
        <x:v>The paper reports simulation improvements in key-resource utilization and routing behavior; no cross-paper timing value is retained.</x:v>
      </x:c>
      <x:c r="L8" s="17" t="str">
        <x:v>Software/simulation work; no fidelity-decay hardware or decision-runtime measurement.</x:v>
      </x:c>
      <x:c r="M8" s="17" t="str">
        <x:v>Class C key-pool-aware routing counterpart.</x:v>
      </x:c>
      <x:c r="N8" s="22" t="str">
        <x:v>Not reported</x:v>
      </x:c>
      <x:c r="O8" s="22" t="str">
        <x:v>Verified from publisher full text</x:v>
      </x:c>
      <x:c r="P8" s="22" t="str">
        <x:v>Qualitative outcomes verified</x:v>
      </x:c>
      <x:c r="Q8" s="22" t="str">
        <x:v>Verified</x:v>
      </x:c>
      <x:c r="R8" s="17" t="str">
        <x:v>10.3390/app13158690</x:v>
      </x:c>
      <x:c r="S8" s="17" t="str">
        <x:v>https://www.mdpi.com/2076-3417/13/15/8690</x:v>
      </x:c>
      <x:c r="T8" s="17" t="str">
        <x:v>2026-07-17</x:v>
      </x:c>
      <x:c r="U8" s="17" t="str"/>
    </x:row>
    <x:row r="9">
      <x:c r="A9" s="18" t="str">
        <x:v>P006</x:v>
      </x:c>
      <x:c r="B9" s="18" t="str">
        <x:v>QKD Routing Algorithms</x:v>
      </x:c>
      <x:c r="C9" s="17" t="str">
        <x:v>Routing Algorithm Within the Multiple Non-Overlapping Paths' Approach for Quantum Key Distribution Networks</x:v>
      </x:c>
      <x:c r="D9" s="17" t="str">
        <x:v>Evgeniy O. Kiktenko; Andrey Tayduganov; Aleksey K. Fedorov</x:v>
      </x:c>
      <x:c r="E9" s="17" t="str">
        <x:v>2024</x:v>
      </x:c>
      <x:c r="F9" s="17" t="str">
        <x:v>Entropy 26(12), Article 1102</x:v>
      </x:c>
      <x:c r="G9" s="21" t="str">
        <x:v>C</x:v>
      </x:c>
      <x:c r="H9" s="17" t="str">
        <x:v>Algorithmic model; numerical simulation</x:v>
      </x:c>
      <x:c r="I9" s="17" t="str">
        <x:v>Network simulation</x:v>
      </x:c>
      <x:c r="J9" s="17" t="str">
        <x:v>The algorithm distributes keys through multiple non-overlapping paths to reduce dependence on any single trusted node.</x:v>
      </x:c>
      <x:c r="K9" s="17" t="str">
        <x:v>Testing is reported on 6-node and 10-node QKD-network models.</x:v>
      </x:c>
      <x:c r="L9" s="17" t="str">
        <x:v>Algorithmic/simulation evaluation; no FPGA implementation or decision-latency result.</x:v>
      </x:c>
      <x:c r="M9" s="17" t="str">
        <x:v>Class C security and path-diversity counterpart.</x:v>
      </x:c>
      <x:c r="N9" s="22" t="str">
        <x:v>Not reported</x:v>
      </x:c>
      <x:c r="O9" s="22" t="str">
        <x:v>Verified from publisher/official manuscript</x:v>
      </x:c>
      <x:c r="P9" s="22" t="str">
        <x:v>Model sizes and qualitative result verified</x:v>
      </x:c>
      <x:c r="Q9" s="22" t="str">
        <x:v>Verified</x:v>
      </x:c>
      <x:c r="R9" s="17" t="str">
        <x:v>10.3390/e26121102</x:v>
      </x:c>
      <x:c r="S9" s="17" t="str">
        <x:v>https://www.mdpi.com/1099-4300/26/12/1102</x:v>
      </x:c>
      <x:c r="T9" s="17" t="str">
        <x:v>2026-07-17</x:v>
      </x:c>
      <x:c r="U9" s="17" t="str"/>
    </x:row>
    <x:row r="10">
      <x:c r="A10" s="18" t="str">
        <x:v>P007</x:v>
      </x:c>
      <x:c r="B10" s="18" t="str">
        <x:v>QKD Routing Algorithms</x:v>
      </x:c>
      <x:c r="C10" s="17" t="str">
        <x:v>Q-Learning for Resource-Aware and Adaptive Routing in Trusted-Relay QKD Network</x:v>
      </x:c>
      <x:c r="D10" s="17" t="str">
        <x:v>Yuanchen Hao; Yuheng Xie; Wenpeng Gao; Jianjun Tang</x:v>
      </x:c>
      <x:c r="E10" s="17" t="str">
        <x:v>2025</x:v>
      </x:c>
      <x:c r="F10" s="17" t="str">
        <x:v>Photonics 12(10), Article 969</x:v>
      </x:c>
      <x:c r="G10" s="21" t="str">
        <x:v>C</x:v>
      </x:c>
      <x:c r="H10" s="17" t="str">
        <x:v>Python software; NS-3.41 simulation</x:v>
      </x:c>
      <x:c r="I10" s="17" t="str">
        <x:v>Network simulation</x:v>
      </x:c>
      <x:c r="J10" s="17" t="str">
        <x:v>Online tabular Q-learning selects next hops using key-resource state in an NS-3.41 QKD simulation framework.</x:v>
      </x:c>
      <x:c r="K10" s="17" t="str">
        <x:v>The reported simulations show lower key-distribution time and throughput of about 34.6-61 keys/s for Q-learning under the studied settings.</x:v>
      </x:c>
      <x:c r="L10" s="17" t="str">
        <x:v>The paper's seconds-scale values are simulated end-to-end key-distribution metrics, not controller inference latency.</x:v>
      </x:c>
      <x:c r="M10" s="17" t="str">
        <x:v>Class C adaptive-routing counterpart and direct conceptual motivation for H4; never compare its distribution time with FPGA kernel cycles.</x:v>
      </x:c>
      <x:c r="N10" s="22" t="str">
        <x:v>Inference runtime not reported; seconds are simulated key-delivery time</x:v>
      </x:c>
      <x:c r="O10" s="22" t="str">
        <x:v>Verified from publisher full text</x:v>
      </x:c>
      <x:c r="P10" s="22" t="str">
        <x:v>Selected full-text metrics verified</x:v>
      </x:c>
      <x:c r="Q10" s="22" t="str">
        <x:v>Verified</x:v>
      </x:c>
      <x:c r="R10" s="17" t="str">
        <x:v>10.3390/photonics12100969</x:v>
      </x:c>
      <x:c r="S10" s="17" t="str">
        <x:v>https://www.mdpi.com/2304-6732/12/10/969</x:v>
      </x:c>
      <x:c r="T10" s="17" t="str">
        <x:v>2026-07-17</x:v>
      </x:c>
      <x:c r="U10" s="17" t="str"/>
    </x:row>
    <x:row r="11">
      <x:c r="A11" s="18" t="str">
        <x:v>P008</x:v>
      </x:c>
      <x:c r="B11" s="18" t="str">
        <x:v>QKD Routing Algorithms</x:v>
      </x:c>
      <x:c r="C11" s="17" t="str">
        <x:v>Fast and Secure Routing Algorithms for Quantum Key Distribution Networks</x:v>
      </x:c>
      <x:c r="D11" s="17" t="str">
        <x:v>Md Shahbaz Akhtar; Krishnakumar G.; Vishnu B.; Abhishek Sinha</x:v>
      </x:c>
      <x:c r="E11" s="17" t="str">
        <x:v>2023</x:v>
      </x:c>
      <x:c r="F11" s="17" t="str">
        <x:v>IEEE/ACM Transactions on Networking 31(5), 2281-2296</x:v>
      </x:c>
      <x:c r="G11" s="21" t="str">
        <x:v>C</x:v>
      </x:c>
      <x:c r="H11" s="17" t="str">
        <x:v>Algorithmic policy; OMNeT++ simulation</x:v>
      </x:c>
      <x:c r="I11" s="17" t="str">
        <x:v>Analytical proof plus network simulation</x:v>
      </x:c>
      <x:c r="J11" s="17" t="str">
        <x:v>Tandem Queue Decomposition combines stochastic QKD key availability with a throughput-optimal routing formulation.</x:v>
      </x:c>
      <x:c r="K11" s="17" t="str">
        <x:v>The paper proves throughput optimality for the stated model and evaluates competitiveness using OMNeT++ simulation.</x:v>
      </x:c>
      <x:c r="L11" s="17" t="str">
        <x:v>No FPGA implementation and no hardware decision-latency measurement.</x:v>
      </x:c>
      <x:c r="M11" s="17" t="str">
        <x:v>Strong Class C theoretical/algorithmic counterpart; the original workbook authorship was incomplete.</x:v>
      </x:c>
      <x:c r="N11" s="22" t="str">
        <x:v>Hardware/decision latency not reported</x:v>
      </x:c>
      <x:c r="O11" s="22" t="str">
        <x:v>Verified from IEEE/arXiv record</x:v>
      </x:c>
      <x:c r="P11" s="22" t="str">
        <x:v>Throughput-optimality claim verified; no unsupported percentage retained</x:v>
      </x:c>
      <x:c r="Q11" s="22" t="str">
        <x:v>Verified</x:v>
      </x:c>
      <x:c r="R11" s="17" t="str">
        <x:v>10.1109/TNET.2023.3246114</x:v>
      </x:c>
      <x:c r="S11" s="17" t="str">
        <x:v>https://ieeexplore.ieee.org/document/10051661</x:v>
      </x:c>
      <x:c r="T11" s="17" t="str">
        <x:v>2026-07-17</x:v>
      </x:c>
      <x:c r="U11" s="17" t="str"/>
    </x:row>
    <x:row r="12">
      <x:c r="A12" s="18" t="str">
        <x:v>P009</x:v>
      </x:c>
      <x:c r="B12" s="18" t="str">
        <x:v>QKD Routing Algorithms</x:v>
      </x:c>
      <x:c r="C12" s="17" t="str">
        <x:v>Dynamic Security-Aware Resource Allocation in Quantum Key Distribution-Enabled Optical Networks</x:v>
      </x:c>
      <x:c r="D12" s="17" t="str">
        <x:v>Vimal Bhatia; Adolph Kasegenya; Bowen Chen</x:v>
      </x:c>
      <x:c r="E12" s="17" t="str">
        <x:v>2025</x:v>
      </x:c>
      <x:c r="F12" s="17" t="str">
        <x:v>Photonics 12(7), Article 645</x:v>
      </x:c>
      <x:c r="G12" s="21" t="str">
        <x:v>C</x:v>
      </x:c>
      <x:c r="H12" s="17" t="str">
        <x:v>Software heuristic; network simulation</x:v>
      </x:c>
      <x:c r="I12" s="17" t="str">
        <x:v>Network simulation</x:v>
      </x:c>
      <x:c r="J12" s="17" t="str">
        <x:v>Two D-SQRA heuristics jointly consider route, wavelength, time slot and adaptive security level.</x:v>
      </x:c>
      <x:c r="K12" s="17" t="str">
        <x:v>The authors report reduced blocking and improved resource/security metrics on NSFNET and UBN24; this audit retains no unsourced cross-paper percentage.</x:v>
      </x:c>
      <x:c r="L12" s="17" t="str">
        <x:v>Simulation study; no hardware dataplane or measured routing-decision latency.</x:v>
      </x:c>
      <x:c r="M12" s="17" t="str">
        <x:v>Class C security-aware resource-allocation counterpart.</x:v>
      </x:c>
      <x:c r="N12" s="22" t="str">
        <x:v>Not reported</x:v>
      </x:c>
      <x:c r="O12" s="22" t="str">
        <x:v>Verified from publisher full text</x:v>
      </x:c>
      <x:c r="P12" s="22" t="str">
        <x:v>Qualitative comparison verified</x:v>
      </x:c>
      <x:c r="Q12" s="22" t="str">
        <x:v>Verified</x:v>
      </x:c>
      <x:c r="R12" s="17" t="str">
        <x:v>10.3390/photonics12070645</x:v>
      </x:c>
      <x:c r="S12" s="17" t="str">
        <x:v>https://www.mdpi.com/2304-6732/12/7/645</x:v>
      </x:c>
      <x:c r="T12" s="17" t="str">
        <x:v>2026-07-17</x:v>
      </x:c>
      <x:c r="U12" s="17" t="str"/>
    </x:row>
    <x:row r="13">
      <x:c r="A13" s="18" t="str">
        <x:v>P010</x:v>
      </x:c>
      <x:c r="B13" s="18" t="str">
        <x:v>QKD Routing Algorithms</x:v>
      </x:c>
      <x:c r="C13" s="17" t="str">
        <x:v>Routing With Minimum Activated Trusted Nodes in Quantum Key Distribution Networks for Secure Communications</x:v>
      </x:c>
      <x:c r="D13" s="17" t="str">
        <x:v>Peng Yong Kong</x:v>
      </x:c>
      <x:c r="E13" s="17" t="str">
        <x:v>2024</x:v>
      </x:c>
      <x:c r="F13" s="17" t="str">
        <x:v>IEEE Internet of Things Journal 11(9), 15219-15228</x:v>
      </x:c>
      <x:c r="G13" s="21" t="str">
        <x:v>C</x:v>
      </x:c>
      <x:c r="H13" s="17" t="str">
        <x:v>Optimization algorithm; numerical evaluation</x:v>
      </x:c>
      <x:c r="I13" s="17" t="str">
        <x:v>Algorithmic/numerical evaluation</x:v>
      </x:c>
      <x:c r="J13" s="17" t="str">
        <x:v>The optimization selects routes that minimize activated trusted nodes while meeting secret-key-rate requirements.</x:v>
      </x:c>
      <x:c r="K13" s="17" t="str">
        <x:v>Evaluation reports fewer activated trusted nodes than a shortest-path benchmark; the workbook's 20-35% value was not verified and is removed.</x:v>
      </x:c>
      <x:c r="L13" s="17" t="str">
        <x:v>Optimization/evaluation study; no FPGA implementation or decision-latency result.</x:v>
      </x:c>
      <x:c r="M13" s="17" t="str">
        <x:v>Class C trusted-node-aware routing counterpart.</x:v>
      </x:c>
      <x:c r="N13" s="22" t="str">
        <x:v>Not reported</x:v>
      </x:c>
      <x:c r="O13" s="22" t="str">
        <x:v>Verified from IEEE and institutional record</x:v>
      </x:c>
      <x:c r="P13" s="22" t="str">
        <x:v>Qualitative comparison verified; original 20-35% claim not retained</x:v>
      </x:c>
      <x:c r="Q13" s="22" t="str">
        <x:v>Verified</x:v>
      </x:c>
      <x:c r="R13" s="17" t="str">
        <x:v>10.1109/JIOT.2024.3349476</x:v>
      </x:c>
      <x:c r="S13" s="17" t="str">
        <x:v>https://ieeexplore.ieee.org/document/10380212</x:v>
      </x:c>
      <x:c r="T13" s="17" t="str">
        <x:v>2026-07-17</x:v>
      </x:c>
      <x:c r="U13" s="17" t="str"/>
    </x:row>
    <x:row r="14">
      <x:c r="A14" s="18" t="str">
        <x:v>P011</x:v>
      </x:c>
      <x:c r="B14" s="18" t="str">
        <x:v>QKD Routing Algorithms</x:v>
      </x:c>
      <x:c r="C14" s="17" t="str">
        <x:v>DRL-based progressive recovery for quantum-key-distribution networks</x:v>
      </x:c>
      <x:c r="D14" s="17" t="str">
        <x:v>Mengyao Li; Qiaolun Zhang; Alberto Gatto; Stefano Bregni; Giacomo Verticale; Massimo Tornatore</x:v>
      </x:c>
      <x:c r="E14" s="17" t="str">
        <x:v>2024</x:v>
      </x:c>
      <x:c r="F14" s="17" t="str">
        <x:v>Journal of Optical Communications and Networking 16(9), E36-E47</x:v>
      </x:c>
      <x:c r="G14" s="21" t="str">
        <x:v>C</x:v>
      </x:c>
      <x:c r="H14" s="17" t="str">
        <x:v>DRL software; network simulation</x:v>
      </x:c>
      <x:c r="I14" s="17" t="str">
        <x:v>Network-recovery simulation</x:v>
      </x:c>
      <x:c r="J14" s="17" t="str">
        <x:v>A DRL framework chooses staged repair actions for progressive recovery of QKD networks after failures.</x:v>
      </x:c>
      <x:c r="K14" s="17" t="str">
        <x:v>Comparative recovery results are reported; the workbook's &gt;90% throughput statement is held because it was not verified in this audit pass.</x:v>
      </x:c>
      <x:c r="L14" s="17" t="str">
        <x:v>Recovery-specific simulation, not baseline routing hardware; no decision-latency measurement.</x:v>
      </x:c>
      <x:c r="M14" s="17" t="str">
        <x:v>Class C failure-recovery counterpart.</x:v>
      </x:c>
      <x:c r="N14" s="22" t="str">
        <x:v>Not reported</x:v>
      </x:c>
      <x:c r="O14" s="22" t="str">
        <x:v>Verified from Optica publisher source</x:v>
      </x:c>
      <x:c r="P14" s="22" t="str">
        <x:v>Method verified; original &gt;90% throughput claim not retained</x:v>
      </x:c>
      <x:c r="Q14" s="22" t="str">
        <x:v>Verified</x:v>
      </x:c>
      <x:c r="R14" s="17" t="str">
        <x:v>10.1364/JOCN.526014</x:v>
      </x:c>
      <x:c r="S14" s="17" t="str">
        <x:v>https://opg.optica.org/jocn/abstract.cfm?uri=jocn-16-9-E36</x:v>
      </x:c>
      <x:c r="T14" s="17" t="str">
        <x:v>2026-07-17</x:v>
      </x:c>
      <x:c r="U14" s="17" t="str"/>
    </x:row>
    <x:row r="15">
      <x:c r="A15" s="18" t="str">
        <x:v>P012</x:v>
      </x:c>
      <x:c r="B15" s="18" t="str">
        <x:v>QKD Routing Algorithms</x:v>
      </x:c>
      <x:c r="C15" s="17" t="str">
        <x:v>Routing, Channel, Key-Rate, and Time-Slot Assignment for QKD in Optical Networks</x:v>
      </x:c>
      <x:c r="D15" s="17" t="str">
        <x:v>Qiaolun Zhang; Omran Ayoub; Alberto Gatto; Jun Wu; Francesco Musumeci; Massimo Tornatore</x:v>
      </x:c>
      <x:c r="E15" s="17" t="str">
        <x:v>2024</x:v>
      </x:c>
      <x:c r="F15" s="17" t="str">
        <x:v>IEEE Transactions on Network and Service Management 21(1), 148-160</x:v>
      </x:c>
      <x:c r="G15" s="21" t="str">
        <x:v>C</x:v>
      </x:c>
      <x:c r="H15" s="17" t="str">
        <x:v>MILP and heuristic algorithms; numerical simulation</x:v>
      </x:c>
      <x:c r="I15" s="17" t="str">
        <x:v>Algorithmic/numerical evaluation</x:v>
      </x:c>
      <x:c r="J15" s="17" t="str">
        <x:v>The RCKTA problem is formulated for combinations of optical bypass and trusted relay, with MILP and scalable solution methods.</x:v>
      </x:c>
      <x:c r="K15" s="17" t="str">
        <x:v>The paper establishes NP-hardness and evaluates the proposed methods; no unsupported cross-paper numeric summary is retained.</x:v>
      </x:c>
      <x:c r="L15" s="17" t="str">
        <x:v>Numerical network study; no FPGA routing datapath or measured decision latency.</x:v>
      </x:c>
      <x:c r="M15" s="17" t="str">
        <x:v>Class C multi-resource QKD-routing counterpart.</x:v>
      </x:c>
      <x:c r="N15" s="22" t="str">
        <x:v>Not reported</x:v>
      </x:c>
      <x:c r="O15" s="22" t="str">
        <x:v>Verified from IEEE/institutional manuscript</x:v>
      </x:c>
      <x:c r="P15" s="22" t="str">
        <x:v>Problem formulation and evaluation scope verified</x:v>
      </x:c>
      <x:c r="Q15" s="22" t="str">
        <x:v>Verified</x:v>
      </x:c>
      <x:c r="R15" s="17" t="str">
        <x:v>10.1109/TNSM.2023.3290920</x:v>
      </x:c>
      <x:c r="S15" s="17" t="str">
        <x:v>https://ieeexplore.ieee.org/document/10168191</x:v>
      </x:c>
      <x:c r="T15" s="17" t="str">
        <x:v>2026-07-17</x:v>
      </x:c>
      <x:c r="U15" s="17" t="str"/>
    </x:row>
    <x:row r="16">
      <x:c r="A16" s="18" t="str">
        <x:v>P013</x:v>
      </x:c>
      <x:c r="B16" s="18" t="str">
        <x:v>SDN-QKD Networks</x:v>
      </x:c>
      <x:c r="C16" s="17" t="str">
        <x:v>MadQCI: a heterogeneous and scalable SDN-QKD network deployed in production facilities</x:v>
      </x:c>
      <x:c r="D16" s="17" t="str">
        <x:v>Vicente Martin et al.</x:v>
      </x:c>
      <x:c r="E16" s="17" t="str">
        <x:v>2024</x:v>
      </x:c>
      <x:c r="F16" s="17" t="str">
        <x:v>npj Quantum Information 10, Article 80</x:v>
      </x:c>
      <x:c r="G16" s="21" t="str">
        <x:v>D</x:v>
      </x:c>
      <x:c r="H16" s="17" t="str">
        <x:v>Physical multi-vendor SDN-QKD testbed; mixed hardware/software</x:v>
      </x:c>
      <x:c r="I16" s="17" t="str">
        <x:v>Physical network testbed</x:v>
      </x:c>
      <x:c r="J16" s="17" t="str">
        <x:v>MadQCI demonstrates a heterogeneous, disaggregated SDN-QKD network in production facilities with commercial traffic.</x:v>
      </x:c>
      <x:c r="K16" s="17" t="str">
        <x:v>The verified source supports a multi-vendor, multi-tenant physical deployment over nearly three years; the workbook's specific request/latency values are not retained without exact source mapping.</x:v>
      </x:c>
      <x:c r="L16" s="17" t="str">
        <x:v>Component and control functions span multiple layers; it is not a same-function FPGA routing baseline for QFlow.</x:v>
      </x:c>
      <x:c r="M16" s="17" t="str">
        <x:v>Class D deployed-system context only; do not claim it proves an SDN routing bottleneck or millisecond routing latency.</x:v>
      </x:c>
      <x:c r="N16" s="22" t="str">
        <x:v>No routing-controller latency verified in this pass</x:v>
      </x:c>
      <x:c r="O16" s="22" t="str">
        <x:v>Verified from Nature full text</x:v>
      </x:c>
      <x:c r="P16" s="22" t="str">
        <x:v>Deployment scope verified; workbook's 1,230 requests/s and 0.15 ms claims held</x:v>
      </x:c>
      <x:c r="Q16" s="22" t="str">
        <x:v>Verified</x:v>
      </x:c>
      <x:c r="R16" s="17" t="str">
        <x:v>10.1038/s41534-024-00873-2</x:v>
      </x:c>
      <x:c r="S16" s="17" t="str">
        <x:v>https://www.nature.com/articles/s41534-024-00873-2</x:v>
      </x:c>
      <x:c r="T16" s="17" t="str">
        <x:v>2026-07-17</x:v>
      </x:c>
      <x:c r="U16" s="17" t="str"/>
    </x:row>
    <x:row r="17">
      <x:c r="A17" s="18" t="str">
        <x:v>P014</x:v>
      </x:c>
      <x:c r="B17" s="18" t="str">
        <x:v>SDN-QKD Networks</x:v>
      </x:c>
      <x:c r="C17" s="17" t="str">
        <x:v>The Evolution of Quantum Key Distribution Networks: On the Road to the Qinternet</x:v>
      </x:c>
      <x:c r="D17" s="17" t="str">
        <x:v>Yuan Cao; Yongli Zhao; Qin Wang; Jie Zhang; Soon Xin Ng; Lajos Hanzo</x:v>
      </x:c>
      <x:c r="E17" s="17" t="str">
        <x:v>2022</x:v>
      </x:c>
      <x:c r="F17" s="17" t="str">
        <x:v>IEEE Communications Surveys &amp; Tutorials 24(2), 839-894</x:v>
      </x:c>
      <x:c r="G17" s="21" t="str">
        <x:v>C</x:v>
      </x:c>
      <x:c r="H17" s="17" t="str">
        <x:v>Survey/review</x:v>
      </x:c>
      <x:c r="I17" s="17" t="str">
        <x:v>Survey synthesis</x:v>
      </x:c>
      <x:c r="J17" s="17" t="str">
        <x:v>Comprehensive survey of QKD-network architecture, protocols, management, routing and evolution.</x:v>
      </x:c>
      <x:c r="K17" s="17" t="str">
        <x:v>Used as background synthesis; no single universal routing-latency number is retained.</x:v>
      </x:c>
      <x:c r="L17" s="17" t="str">
        <x:v>Survey, not a hardware implementation or direct performance baseline.</x:v>
      </x:c>
      <x:c r="M17" s="17" t="str">
        <x:v>Class C architecture/background source.</x:v>
      </x:c>
      <x:c r="N17" s="22" t="str">
        <x:v>Not reported as a universal SDN-routing measurement</x:v>
      </x:c>
      <x:c r="O17" s="22" t="str">
        <x:v>Verified from IEEE/institutional manuscript</x:v>
      </x:c>
      <x:c r="P17" s="22" t="str">
        <x:v>Bibliographic identity and survey scope verified</x:v>
      </x:c>
      <x:c r="Q17" s="22" t="str">
        <x:v>Verified</x:v>
      </x:c>
      <x:c r="R17" s="17" t="str">
        <x:v>10.1109/COMST.2022.3144219</x:v>
      </x:c>
      <x:c r="S17" s="17" t="str">
        <x:v>https://ieeexplore.ieee.org/document/9684555</x:v>
      </x:c>
      <x:c r="T17" s="17" t="str">
        <x:v>2026-07-17</x:v>
      </x:c>
      <x:c r="U17" s="17" t="str"/>
    </x:row>
    <x:row r="18">
      <x:c r="A18" s="18" t="str">
        <x:v>P015</x:v>
      </x:c>
      <x:c r="B18" s="18" t="str">
        <x:v>SDN-QKD Networks</x:v>
      </x:c>
      <x:c r="C18" s="17" t="str">
        <x:v>Implementation of carrier-grade quantum communication networks over 10000 km</x:v>
      </x:c>
      <x:c r="D18" s="17" t="str">
        <x:v>Hao-Ze Chen; Ming-Han Li; Yu Zhou Wang; Zhen-Geng Zhao; Cheng Ye; Fei Long Li; Zhu Chen; Sheng-Long Han; Bao Tang; Ya Jun Miao; et al.</x:v>
      </x:c>
      <x:c r="E18" s="17" t="str">
        <x:v>2025</x:v>
      </x:c>
      <x:c r="F18" s="17" t="str">
        <x:v>npj Quantum Information 11, Article 137</x:v>
      </x:c>
      <x:c r="G18" s="21" t="str">
        <x:v>C</x:v>
      </x:c>
      <x:c r="H18" s="17" t="str">
        <x:v>Physical carrier-grade QKD network</x:v>
      </x:c>
      <x:c r="I18" s="17" t="str">
        <x:v>Physical network deployment</x:v>
      </x:c>
      <x:c r="J18" s="17" t="str">
        <x:v>The paper reports the operational CN-QCN trusted-relay network.</x:v>
      </x:c>
      <x:c r="K18" s="17" t="str">
        <x:v>Verified deployment scale: over 10,000 km, 145 fiber-backbone nodes, 20 metropolitan networks, 17 provinces and 80 cities.</x:v>
      </x:c>
      <x:c r="L18" s="17" t="str">
        <x:v>Deployment context does not establish that the entire routing infrastructure is software-based or provide a QFlow-equivalent hardware baseline.</x:v>
      </x:c>
      <x:c r="M18" s="17" t="str">
        <x:v>Class C real-world deployment motivation; no raw timing comparison.</x:v>
      </x:c>
      <x:c r="N18" s="22" t="str">
        <x:v>No routing-decision latency verified</x:v>
      </x:c>
      <x:c r="O18" s="22" t="str">
        <x:v>Verified from Nature full text</x:v>
      </x:c>
      <x:c r="P18" s="22" t="str">
        <x:v>Deployment scale verified</x:v>
      </x:c>
      <x:c r="Q18" s="22" t="str">
        <x:v>Verified</x:v>
      </x:c>
      <x:c r="R18" s="17" t="str">
        <x:v>10.1038/s41534-025-01089-8</x:v>
      </x:c>
      <x:c r="S18" s="17" t="str">
        <x:v>https://www.nature.com/articles/s41534-025-01089-8</x:v>
      </x:c>
      <x:c r="T18" s="17" t="str">
        <x:v>2026-07-17</x:v>
      </x:c>
      <x:c r="U18" s="17" t="str"/>
    </x:row>
    <x:row r="19">
      <x:c r="A19" s="18" t="str">
        <x:v>P016</x:v>
      </x:c>
      <x:c r="B19" s="18" t="str">
        <x:v>SDN-QKD Networks</x:v>
      </x:c>
      <x:c r="C19" s="17" t="str">
        <x:v>A Quantum Key Distribution Routing Scheme for a Zero-Trust QKD Network System: A Moving Target Defense Approach</x:v>
      </x:c>
      <x:c r="D19" s="17" t="str">
        <x:v>Esraa M. Ghourab; Mohamed Azab; Denis Gračanin</x:v>
      </x:c>
      <x:c r="E19" s="17" t="str">
        <x:v>2025</x:v>
      </x:c>
      <x:c r="F19" s="17" t="str">
        <x:v>Big Data and Cognitive Computing 9(4), Article 76</x:v>
      </x:c>
      <x:c r="G19" s="21" t="str">
        <x:v>C</x:v>
      </x:c>
      <x:c r="H19" s="17" t="str">
        <x:v>Software framework; network simulation</x:v>
      </x:c>
      <x:c r="I19" s="17" t="str">
        <x:v>Network simulation</x:v>
      </x:c>
      <x:c r="J19" s="17" t="str">
        <x:v>A moving-target-defense framework dynamically shuffles routes for multipath/multi-key distribution under a zero-trust relay model.</x:v>
      </x:c>
      <x:c r="K19" s="17" t="str">
        <x:v>The abstract reports an 86.04% improvement in defense against interception and nearly doubled key-distribution success versus traditional methods.</x:v>
      </x:c>
      <x:c r="L19" s="17" t="str">
        <x:v>Simulation/framework evaluation; no FPGA routing hardware or measured decision runtime.</x:v>
      </x:c>
      <x:c r="M19" s="17" t="str">
        <x:v>Class C security-focused QKD-routing counterpart.</x:v>
      </x:c>
      <x:c r="N19" s="22" t="str">
        <x:v>Not reported for routing-decision runtime</x:v>
      </x:c>
      <x:c r="O19" s="22" t="str">
        <x:v>Verified from publisher full text</x:v>
      </x:c>
      <x:c r="P19" s="22" t="str">
        <x:v>Reported security/success improvements verified from abstract</x:v>
      </x:c>
      <x:c r="Q19" s="22" t="str">
        <x:v>Verified</x:v>
      </x:c>
      <x:c r="R19" s="17" t="str">
        <x:v>10.3390/bdcc9040076</x:v>
      </x:c>
      <x:c r="S19" s="17" t="str">
        <x:v>https://www.mdpi.com/2504-2289/9/4/76</x:v>
      </x:c>
      <x:c r="T19" s="17" t="str">
        <x:v>2026-07-17</x:v>
      </x:c>
      <x:c r="U19" s="17" t="str"/>
    </x:row>
    <x:row r="20">
      <x:c r="A20" s="18" t="str">
        <x:v>P017</x:v>
      </x:c>
      <x:c r="B20" s="18" t="str">
        <x:v>FPGA Acceleration for Quantum</x:v>
      </x:c>
      <x:c r="C20" s="17" t="str">
        <x:v>Efficient FPGA implementation of polar codes-based information reconciliation for quantum key distribution</x:v>
      </x:c>
      <x:c r="D20" s="17" t="str">
        <x:v>Lianye Liao; Xinyi Wu; Ye Chen; Xiaodong Fan; Zhiyu Tian; Jinquan Huang; Tonglin Mu; Junran Guo; Minjie Liu; Bo Liu; Shihai Sun</x:v>
      </x:c>
      <x:c r="E20" s="17" t="str">
        <x:v>2025</x:v>
      </x:c>
      <x:c r="F20" s="17" t="str">
        <x:v>Scientific Reports 15, Article 36253</x:v>
      </x:c>
      <x:c r="G20" s="21" t="str">
        <x:v>D</x:v>
      </x:c>
      <x:c r="H20" s="17" t="str">
        <x:v>Xilinx Kintex UltraScale AXKU040 FPGA</x:v>
      </x:c>
      <x:c r="I20" s="17" t="str">
        <x:v>Measured FPGA component</x:v>
      </x:c>
      <x:c r="J20" s="17" t="str">
        <x:v>A pipelined, fully unfolded SCL/CRC hardware accelerator performs polar-code information reconciliation for DV-QKD.</x:v>
      </x:c>
      <x:c r="K20" s="17" t="str">
        <x:v>The FPGA implementation reports 35.33 Mbps information-reconciliation throughput for block length 2^20.</x:v>
      </x:c>
      <x:c r="L20" s="17" t="str">
        <x:v>This is post-processing, not route selection. The workbook's Artix-7, 200 MHz, 10-20x CPU, below-1-W and below-40% resource claims are not supported by the verified source.</x:v>
      </x:c>
      <x:c r="M20" s="17" t="str">
        <x:v>Class D FPGA-QKD component context only; not a same-function routing baseline.</x:v>
      </x:c>
      <x:c r="N20" s="22" t="str">
        <x:v>Routing-decision latency not applicable</x:v>
      </x:c>
      <x:c r="O20" s="22" t="str">
        <x:v>Verified from publisher full text</x:v>
      </x:c>
      <x:c r="P20" s="22" t="str">
        <x:v>35.33 Mbps result and device verified</x:v>
      </x:c>
      <x:c r="Q20" s="22" t="str">
        <x:v>Verified with claim restriction</x:v>
      </x:c>
      <x:c r="R20" s="17" t="str">
        <x:v>10.1038/s41598-025-20146-y</x:v>
      </x:c>
      <x:c r="S20" s="17" t="str">
        <x:v>https://www.nature.com/articles/s41598-025-20146-y</x:v>
      </x:c>
      <x:c r="T20" s="17" t="str">
        <x:v>2026-07-17</x:v>
      </x:c>
      <x:c r="U20" s="17" t="str">
        <x:v>Unsupported device, clock, power, resource and speedup statements removed.</x:v>
      </x:c>
    </x:row>
    <x:row r="21">
      <x:c r="A21" s="18" t="str">
        <x:v>P018</x:v>
      </x:c>
      <x:c r="B21" s="18" t="str">
        <x:v>FPGA Acceleration for Quantum</x:v>
      </x:c>
      <x:c r="C21" s="17" t="str">
        <x:v>FPGA-Based Implementation of Multidimensional Reconciliation Encoding in Quantum Key Distribution</x:v>
      </x:c>
      <x:c r="D21" s="17" t="str">
        <x:v>Qing Lu; Zhenguo Lu; Hongzhao Yang; Shen-Shen Yang; Yongmin Li</x:v>
      </x:c>
      <x:c r="E21" s="17" t="str">
        <x:v>2023</x:v>
      </x:c>
      <x:c r="F21" s="17" t="str">
        <x:v>Entropy 25(1), Article 80</x:v>
      </x:c>
      <x:c r="G21" s="21" t="str">
        <x:v>D</x:v>
      </x:c>
      <x:c r="H21" s="17" t="str">
        <x:v>Xilinx Virtex-7 FPGA</x:v>
      </x:c>
      <x:c r="I21" s="17" t="str">
        <x:v>FPGA implementation and simulation results</x:v>
      </x:c>
      <x:c r="J21" s="17" t="str">
        <x:v>A variable-throughput, circulatory FPGA architecture accelerates eight-dimensional reconciliation encoding for CV-QKD.</x:v>
      </x:c>
      <x:c r="K21" s="17" t="str">
        <x:v>The verified maximum throughput is 4.88 M symbols/s on a Virtex-7 FPGA; the CPU comparison reports 0.063 M symbols/s.</x:v>
      </x:c>
      <x:c r="L21" s="17" t="str">
        <x:v>Encoding/post-processing only; no network routing. The workbook's 0.5-4 Gbps and 40% latency-reduction claims are not retained.</x:v>
      </x:c>
      <x:c r="M21" s="17" t="str">
        <x:v>Class D component context for FPGA feasibility, not QFlow routing superiority.</x:v>
      </x:c>
      <x:c r="N21" s="22" t="str">
        <x:v>Routing-decision latency not applicable</x:v>
      </x:c>
      <x:c r="O21" s="22" t="str">
        <x:v>Verified from publisher full text</x:v>
      </x:c>
      <x:c r="P21" s="22" t="str">
        <x:v>Maximum throughput verified</x:v>
      </x:c>
      <x:c r="Q21" s="22" t="str">
        <x:v>Verified with claim restriction</x:v>
      </x:c>
      <x:c r="R21" s="17" t="str">
        <x:v>10.3390/e25010080</x:v>
      </x:c>
      <x:c r="S21" s="17" t="str">
        <x:v>https://www.mdpi.com/1099-4300/25/1/80</x:v>
      </x:c>
      <x:c r="T21" s="17" t="str">
        <x:v>2026-07-17</x:v>
      </x:c>
      <x:c r="U21" s="17" t="str">
        <x:v>Original throughput units and latency comparison were unsupported.</x:v>
      </x:c>
    </x:row>
    <x:row r="22">
      <x:c r="A22" s="18" t="str">
        <x:v>P019</x:v>
      </x:c>
      <x:c r="B22" s="18" t="str">
        <x:v>FPGA Acceleration for Quantum</x:v>
      </x:c>
      <x:c r="C22" s="17" t="str">
        <x:v>Scalable QKD Postprocessing System With Reconfigurable Hardware Accelerator</x:v>
      </x:c>
      <x:c r="D22" s="17" t="str">
        <x:v>Natarajan Venkatachalam; Foram P. Shingala; Selvagangai C.; Hema Priya S.; Dillibabu S.; Pooja Chandravanshi; Ravindra P. Singh</x:v>
      </x:c>
      <x:c r="E22" s="17" t="str">
        <x:v>2023</x:v>
      </x:c>
      <x:c r="F22" s="17" t="str">
        <x:v>IEEE Transactions on Quantum Engineering 4, Article 4100914</x:v>
      </x:c>
      <x:c r="G22" s="21" t="str">
        <x:v>D</x:v>
      </x:c>
      <x:c r="H22" s="17" t="str">
        <x:v>FPGA key-distillation accelerator</x:v>
      </x:c>
      <x:c r="I22" s="17" t="str">
        <x:v>Measured FPGA component</x:v>
      </x:c>
      <x:c r="J22" s="17" t="str">
        <x:v>A MapReduce-inspired FPGA key-distillation architecture supports dynamic error correction, authentication and encryption for multiple DV-QKD protocols.</x:v>
      </x:c>
      <x:c r="K22" s="17" t="str">
        <x:v>The paper reports experimental scalability and speedup results; the workbook's generic 3.5x CPU value is held because its exact boundary was not verified in this pass.</x:v>
      </x:c>
      <x:c r="L22" s="17" t="str">
        <x:v>QKD post-processing only; it does not select network paths or track routing fidelity.</x:v>
      </x:c>
      <x:c r="M22" s="17" t="str">
        <x:v>Class D FPGA-QKD component and architectural context.</x:v>
      </x:c>
      <x:c r="N22" s="22" t="str">
        <x:v>Routing-decision latency not applicable</x:v>
      </x:c>
      <x:c r="O22" s="22" t="str">
        <x:v>Verified from IEEE paper</x:v>
      </x:c>
      <x:c r="P22" s="22" t="str">
        <x:v>Architecture scope verified; 3.5x claim not retained</x:v>
      </x:c>
      <x:c r="Q22" s="22" t="str">
        <x:v>Verified with claim restriction</x:v>
      </x:c>
      <x:c r="R22" s="17" t="str">
        <x:v>10.1109/TQE.2023.3326093</x:v>
      </x:c>
      <x:c r="S22" s="17" t="str">
        <x:v>https://ieeexplore.ieee.org/document/10288091</x:v>
      </x:c>
      <x:c r="T22" s="17" t="str">
        <x:v>2026-07-17</x:v>
      </x:c>
      <x:c r="U22" s="17" t="str">
        <x:v>Exact 3.5x claim requires table-level mapping before reuse.</x:v>
      </x:c>
    </x:row>
    <x:row r="23">
      <x:c r="A23" s="18" t="str">
        <x:v>P020</x:v>
      </x:c>
      <x:c r="B23" s="18" t="str">
        <x:v>FPGA Acceleration for Quantum</x:v>
      </x:c>
      <x:c r="C23" s="17" t="str">
        <x:v>The Hitchhiker's Guide to FPGA-Accelerated Quantum Error Correction</x:v>
      </x:c>
      <x:c r="D23" s="17" t="str">
        <x:v>Beatrice Branchini; Davide Conficconi; Donatella Sciuto; Marco D. Santambrogio</x:v>
      </x:c>
      <x:c r="E23" s="17" t="str">
        <x:v>2023</x:v>
      </x:c>
      <x:c r="F23" s="17" t="str">
        <x:v>2023 IEEE International Conference on Quantum Computing and Engineering (QCE), 338-339</x:v>
      </x:c>
      <x:c r="G23" s="21" t="str">
        <x:v>D</x:v>
      </x:c>
      <x:c r="H23" s="17" t="str">
        <x:v>Survey of FPGA QEC decoders</x:v>
      </x:c>
      <x:c r="I23" s="17" t="str">
        <x:v>Survey/KPI synthesis</x:v>
      </x:c>
      <x:c r="J23" s="17" t="str">
        <x:v>The paper surveys requirements and KPIs for FPGA-accelerated quantum-error-correction decoders.</x:v>
      </x:c>
      <x:c r="K23" s="17" t="str">
        <x:v>No measured QKD routing result is retained. Sub-microsecond QEC requirements are not routing-decision measurements.</x:v>
      </x:c>
      <x:c r="L23" s="17" t="str">
        <x:v>QEC and survey scope only; no QKD routing or same-workload comparison.</x:v>
      </x:c>
      <x:c r="M23" s="17" t="str">
        <x:v>Class D quantum-adjacent FPGA context only.</x:v>
      </x:c>
      <x:c r="N23" s="22" t="str">
        <x:v>No QFlow-equivalent routing latency</x:v>
      </x:c>
      <x:c r="O23" s="22" t="str">
        <x:v>Verified from IEEE publisher record</x:v>
      </x:c>
      <x:c r="P23" s="22" t="str">
        <x:v>Bibliographic identity and survey scope verified</x:v>
      </x:c>
      <x:c r="Q23" s="22" t="str">
        <x:v>Verified with claim restriction</x:v>
      </x:c>
      <x:c r="R23" s="17" t="str">
        <x:v>IEEE document 10313923</x:v>
      </x:c>
      <x:c r="S23" s="17" t="str">
        <x:v>https://ieeexplore.ieee.org/document/10313923</x:v>
      </x:c>
      <x:c r="T23" s="17" t="str">
        <x:v>2026-07-17</x:v>
      </x:c>
      <x:c r="U23" s="17" t="str">
        <x:v>The workbook presented a QEC requirement as a general measured FPGA result.</x:v>
      </x:c>
    </x:row>
    <x:row r="24">
      <x:c r="A24" s="18" t="str">
        <x:v>P021</x:v>
      </x:c>
      <x:c r="B24" s="18" t="str">
        <x:v>FPGA Acceleration for Quantum</x:v>
      </x:c>
      <x:c r="C24" s="17" t="str">
        <x:v>FPT-EMS: An FPGA Implementation Using NB-LDPC Code for Continuous-Variable Quantum Key Distribution</x:v>
      </x:c>
      <x:c r="D24" s="17" t="str">
        <x:v>Kaijie Wei; Devanshu Garg; Ryutaro Nagai; Takao Tomono; Hideharu Amano</x:v>
      </x:c>
      <x:c r="E24" s="17" t="str">
        <x:v>2025</x:v>
      </x:c>
      <x:c r="F24" s="17" t="str">
        <x:v>HEART 2025, 117-125</x:v>
      </x:c>
      <x:c r="G24" s="21" t="str">
        <x:v>D</x:v>
      </x:c>
      <x:c r="H24" s="17" t="str">
        <x:v>AMD RFSoC 4x2; HLS FPGA decoder</x:v>
      </x:c>
      <x:c r="I24" s="17" t="str">
        <x:v>Synthesized/measured FPGA component</x:v>
      </x:c>
      <x:c r="J24" s="17" t="str">
        <x:v>An HLS implementation of the trellis-based extended min-sum NB-LDPC decoder targets CV-QKD on an RFSoC 4x2 platform.</x:v>
      </x:c>
      <x:c r="K24" s="17" t="str">
        <x:v>The publisher source supports the FPGA/HLS decoder scope; no cross-platform throughput number is retained in this audit pass.</x:v>
      </x:c>
      <x:c r="L24" s="17" t="str">
        <x:v>Reconciliation decoder only; not routing, key management or fidelity-aware path selection.</x:v>
      </x:c>
      <x:c r="M24" s="17" t="str">
        <x:v>Class D recent FPGA-QKD post-processing context.</x:v>
      </x:c>
      <x:c r="N24" s="22" t="str">
        <x:v>Routing-decision latency not applicable</x:v>
      </x:c>
      <x:c r="O24" s="22" t="str">
        <x:v>Verified from ACM record</x:v>
      </x:c>
      <x:c r="P24" s="22" t="str">
        <x:v>Identity, target and method verified; numeric speed claims held</x:v>
      </x:c>
      <x:c r="Q24" s="22" t="str">
        <x:v>Verified with claim restriction</x:v>
      </x:c>
      <x:c r="R24" s="17" t="str">
        <x:v>10.1145/3728179.3728183</x:v>
      </x:c>
      <x:c r="S24" s="17" t="str">
        <x:v>https://dl.acm.org/doi/10.1145/3728179.3728183</x:v>
      </x:c>
      <x:c r="T24" s="17" t="str">
        <x:v>2026-07-17</x:v>
      </x:c>
      <x:c r="U24" s="17" t="str">
        <x:v>Unmapped efficiency, throughput and GPU-comparison statements removed.</x:v>
      </x:c>
    </x:row>
    <x:row r="25">
      <x:c r="A25" s="18" t="str">
        <x:v>P022</x:v>
      </x:c>
      <x:c r="B25" s="18" t="str">
        <x:v>FPGA Acceleration for Quantum</x:v>
      </x:c>
      <x:c r="C25" s="17" t="str">
        <x:v>FPGA-Based Synchronization of Frequency-Domain Interferometer for QKD</x:v>
      </x:c>
      <x:c r="D25" s="17" t="str">
        <x:v>Nishanth Chandra; Pradeep Kumar Krishnamurthy</x:v>
      </x:c>
      <x:c r="E25" s="17" t="str">
        <x:v>2025</x:v>
      </x:c>
      <x:c r="F25" s="17" t="str">
        <x:v>IEEE Transactions on Quantum Engineering 6, Article 4100111, 1-10</x:v>
      </x:c>
      <x:c r="G25" s="21" t="str">
        <x:v>D</x:v>
      </x:c>
      <x:c r="H25" s="17" t="str">
        <x:v>FPGA-based QKD synchronization experiment</x:v>
      </x:c>
      <x:c r="I25" s="17" t="str">
        <x:v>Measured physical-layer FPGA component</x:v>
      </x:c>
      <x:c r="J25" s="17" t="str">
        <x:v>The work experimentally demonstrates FPGA-based synchronization for a frequency-domain interferometer used in QKD.</x:v>
      </x:c>
      <x:c r="K25" s="17" t="str">
        <x:v>The audit retains the experimental synchronization scope but not the workbook's sub-nanosecond precision or greater-than-1-Gbps clock claims.</x:v>
      </x:c>
      <x:c r="L25" s="17" t="str">
        <x:v>Physical-layer synchronization only; no routing or key-management decision datapath.</x:v>
      </x:c>
      <x:c r="M25" s="17" t="str">
        <x:v>Class D physical-layer component context.</x:v>
      </x:c>
      <x:c r="N25" s="22" t="str">
        <x:v>Routing-decision latency not applicable</x:v>
      </x:c>
      <x:c r="O25" s="22" t="str">
        <x:v>Verified from IEEE record</x:v>
      </x:c>
      <x:c r="P25" s="22" t="str">
        <x:v>Identity and experimental synchronization scope verified</x:v>
      </x:c>
      <x:c r="Q25" s="22" t="str">
        <x:v>Verified with claim restriction</x:v>
      </x:c>
      <x:c r="R25" s="17" t="str">
        <x:v>IEEE document 10769019</x:v>
      </x:c>
      <x:c r="S25" s="17" t="str">
        <x:v>https://ieeexplore.ieee.org/document/10769019</x:v>
      </x:c>
      <x:c r="T25" s="17" t="str">
        <x:v>2026-07-17</x:v>
      </x:c>
      <x:c r="U25" s="17" t="str">
        <x:v>Specific precision and clock-rate claims require exact full-text mapping.</x:v>
      </x:c>
    </x:row>
    <x:row r="26">
      <x:c r="A26" s="18" t="str">
        <x:v>P023</x:v>
      </x:c>
      <x:c r="B26" s="18" t="str">
        <x:v>Hardware Genetic Algorithms</x:v>
      </x:c>
      <x:c r="C26" s="17" t="str">
        <x:v>A fully customizable hardware implementation for general purpose genetic algorithms</x:v>
      </x:c>
      <x:c r="D26" s="17" t="str">
        <x:v>Murat Peker</x:v>
      </x:c>
      <x:c r="E26" s="17" t="str">
        <x:v>2018</x:v>
      </x:c>
      <x:c r="F26" s="17" t="str">
        <x:v>Applied Soft Computing 62, 1066-1076</x:v>
      </x:c>
      <x:c r="G26" s="21" t="str">
        <x:v>D</x:v>
      </x:c>
      <x:c r="H26" s="17" t="str">
        <x:v>VHDL GA IP core on FPGA</x:v>
      </x:c>
      <x:c r="I26" s="17" t="str">
        <x:v>FPGA implementation evaluation</x:v>
      </x:c>
      <x:c r="J26" s="17" t="str">
        <x:v>A customizable and scalable VHDL GA IP core uses modular pipelined and parallel operators on FPGA.</x:v>
      </x:c>
      <x:c r="K26" s="17" t="str">
        <x:v>The publisher supports reduced generation cycles and increased convergence speed; the workbook's 95%, TSP/global-optimum and 12% LUT bundle is not retained without exact table mapping.</x:v>
      </x:c>
      <x:c r="L26" s="17" t="str">
        <x:v>General-purpose, primarily single-objective GA; not quantum routing and not a same-device QFlow baseline.</x:v>
      </x:c>
      <x:c r="M26" s="17" t="str">
        <x:v>Class D hardware-GA architectural precedent.</x:v>
      </x:c>
      <x:c r="N26" s="22" t="str">
        <x:v>Not a routing-decision measurement</x:v>
      </x:c>
      <x:c r="O26" s="22" t="str">
        <x:v>Verified from publisher page</x:v>
      </x:c>
      <x:c r="P26" s="22" t="str">
        <x:v>Identity and architecture verified; workbook metrics held</x:v>
      </x:c>
      <x:c r="Q26" s="22" t="str">
        <x:v>Verified with claim restriction</x:v>
      </x:c>
      <x:c r="R26" s="17" t="str">
        <x:v>10.1016/j.asoc.2017.09.044</x:v>
      </x:c>
      <x:c r="S26" s="17" t="str">
        <x:v>https://www.sciencedirect.com/science/article/pii/S1568494617305835</x:v>
      </x:c>
      <x:c r="T26" s="17" t="str">
        <x:v>2026-07-17</x:v>
      </x:c>
      <x:c r="U26" s="17" t="str">
        <x:v>Original author, year, pages and quantitative bundle were incorrect or unmapped.</x:v>
      </x:c>
    </x:row>
    <x:row r="27">
      <x:c r="A27" s="18" t="str">
        <x:v>P024</x:v>
      </x:c>
      <x:c r="B27" s="18" t="str">
        <x:v>Hardware Genetic Algorithms</x:v>
      </x:c>
      <x:c r="C27" s="17" t="str">
        <x:v>Customizable FPGA IP Core Implementation of a General-Purpose Genetic Algorithm Engine</x:v>
      </x:c>
      <x:c r="D27" s="17" t="str">
        <x:v>Pradeep R. Fernando; Srinivas Katkoori; Didier Keymeulen; Ricardo Zebulum; Adrian Stoica</x:v>
      </x:c>
      <x:c r="E27" s="17" t="str">
        <x:v>2010</x:v>
      </x:c>
      <x:c r="F27" s="17" t="str">
        <x:v>IEEE Transactions on Evolutionary Computation 14(1), 133-149</x:v>
      </x:c>
      <x:c r="G27" s="21" t="str">
        <x:v>D</x:v>
      </x:c>
      <x:c r="H27" s="17" t="str">
        <x:v>Xilinx Virtex-II Pro FPGA GA IP core</x:v>
      </x:c>
      <x:c r="I27" s="17" t="str">
        <x:v>FPGA implementation evaluation</x:v>
      </x:c>
      <x:c r="J27" s="17" t="str">
        <x:v>A register-configurable general-purpose GA IP core supports programmable population, generations, rates, seed and fitness function.</x:v>
      </x:c>
      <x:c r="K27" s="17" t="str">
        <x:v>The placed-and-routed Virtex-II Pro core reports about 13% area utilization; other workbook clock/interface claims are not retained here.</x:v>
      </x:c>
      <x:c r="L27" s="17" t="str">
        <x:v>Older single-objective general-purpose engine; no Pareto QKD routing workload.</x:v>
      </x:c>
      <x:c r="M27" s="17" t="str">
        <x:v>Class D foundational GA-IP precedent.</x:v>
      </x:c>
      <x:c r="N27" s="22" t="str">
        <x:v>Not a routing-decision measurement</x:v>
      </x:c>
      <x:c r="O27" s="22" t="str">
        <x:v>Verified from IEEE journal record</x:v>
      </x:c>
      <x:c r="P27" s="22" t="str">
        <x:v>Identity, configurability and 13% area verified</x:v>
      </x:c>
      <x:c r="Q27" s="22" t="str">
        <x:v>Verified with claim restriction</x:v>
      </x:c>
      <x:c r="R27" s="17" t="str">
        <x:v>10.1109/TEVC.2009.2025032</x:v>
      </x:c>
      <x:c r="S27" s="17" t="str">
        <x:v>https://ieeexplore.ieee.org/document/5299091</x:v>
      </x:c>
      <x:c r="T27" s="17" t="str">
        <x:v>2026-07-17</x:v>
      </x:c>
      <x:c r="U27" s="17" t="str">
        <x:v>Incomplete authorship and unmapped frequency claim corrected.</x:v>
      </x:c>
    </x:row>
    <x:row r="28">
      <x:c r="A28" s="18" t="str">
        <x:v>P025</x:v>
      </x:c>
      <x:c r="B28" s="18" t="str">
        <x:v>Hardware Genetic Algorithms</x:v>
      </x:c>
      <x:c r="C28" s="17" t="str">
        <x:v>Automated Framework for General-Purpose Genetic Algorithms in FPGAs</x:v>
      </x:c>
      <x:c r="D28" s="17" t="str">
        <x:v>Liucheng Guo; David B. Thomas; Wayne Luk</x:v>
      </x:c>
      <x:c r="E28" s="17" t="str">
        <x:v>2014</x:v>
      </x:c>
      <x:c r="F28" s="17" t="str">
        <x:v>Applications of Evolutionary Computation, LNCS 8602, 714-725</x:v>
      </x:c>
      <x:c r="G28" s="21" t="str">
        <x:v>D</x:v>
      </x:c>
      <x:c r="H28" s="17" t="str">
        <x:v>Automated FPGA GA framework</x:v>
      </x:c>
      <x:c r="I28" s="17" t="str">
        <x:v>Framework and FPGA evaluation</x:v>
      </x:c>
      <x:c r="J28" s="17" t="str">
        <x:v>An automated framework generates and executes customizable general-purpose genetic algorithms on FPGAs.</x:v>
      </x:c>
      <x:c r="K28" s="17" t="str">
        <x:v>The framework scope is verified; the workbook's 30x speedup and six-benchmark statement are not retained without full result mapping.</x:v>
      </x:c>
      <x:c r="L28" s="17" t="str">
        <x:v>General-purpose framework; no quantum-specific objectives or same-workload QFlow comparison.</x:v>
      </x:c>
      <x:c r="M28" s="17" t="str">
        <x:v>Class D FPGA-GA tooling precedent.</x:v>
      </x:c>
      <x:c r="N28" s="22" t="str">
        <x:v>Not a routing-decision measurement</x:v>
      </x:c>
      <x:c r="O28" s="22" t="str">
        <x:v>Verified from Springer publisher page</x:v>
      </x:c>
      <x:c r="P28" s="22" t="str">
        <x:v>Identity and framework scope verified</x:v>
      </x:c>
      <x:c r="Q28" s="22" t="str">
        <x:v>Verified with claim restriction</x:v>
      </x:c>
      <x:c r="R28" s="17" t="str">
        <x:v>10.1007/978-3-662-45523-4_58</x:v>
      </x:c>
      <x:c r="S28" s="17" t="str">
        <x:v>https://link.springer.com/chapter/10.1007/978-3-662-45523-4_58</x:v>
      </x:c>
      <x:c r="T28" s="17" t="str">
        <x:v>2026-07-17</x:v>
      </x:c>
      <x:c r="U28" s="17" t="str">
        <x:v>Unmapped speedup and benchmark-count claims removed.</x:v>
      </x:c>
    </x:row>
    <x:row r="29">
      <x:c r="A29" s="18" t="str">
        <x:v>P026</x:v>
      </x:c>
      <x:c r="B29" s="18" t="str">
        <x:v>Hardware Genetic Algorithms</x:v>
      </x:c>
      <x:c r="C29" s="17" t="str">
        <x:v>RapidLayout: Fast Hard Block Placement of FPGA-Optimized Systolic Arrays Using Evolutionary Algorithms</x:v>
      </x:c>
      <x:c r="D29" s="17" t="str">
        <x:v>Niansong Zhang; Xiang Chen; Nachiket Kapre</x:v>
      </x:c>
      <x:c r="E29" s="17" t="str">
        <x:v>2022</x:v>
      </x:c>
      <x:c r="F29" s="17" t="str">
        <x:v>ACM Transactions on Reconfigurable Technology and Systems</x:v>
      </x:c>
      <x:c r="G29" s="21" t="str">
        <x:v>D</x:v>
      </x:c>
      <x:c r="H29" s="17" t="str">
        <x:v>Host-side RapidWright evolutionary placement tool</x:v>
      </x:c>
      <x:c r="I29" s="17" t="str">
        <x:v>EDA tool evaluation</x:v>
      </x:c>
      <x:c r="J29" s="17" t="str">
        <x:v>RapidLayout is a host-side evolutionary hard-block placement and routing flow built on Xilinx RapidWright for UltraScale+ systolic accelerators.</x:v>
      </x:c>
      <x:c r="K29" s="17" t="str">
        <x:v>The paper reports 5-6x lower placement runtime than Vivado with manual constraints and additional comparisons with VPR and UTPlaceF.</x:v>
      </x:c>
      <x:c r="L29" s="17" t="str">
        <x:v>The evolutionary optimizer runs as an EDA tool, not as an FPGA-resident GA, and its placement objectives differ from QKD routing.</x:v>
      </x:c>
      <x:c r="M29" s="17" t="str">
        <x:v>Class D multi-objective evolutionary-method context only.</x:v>
      </x:c>
      <x:c r="N29" s="22" t="str">
        <x:v>Not applicable to network routing latency</x:v>
      </x:c>
      <x:c r="O29" s="22" t="str">
        <x:v>Verified from ACM paper and official preprint</x:v>
      </x:c>
      <x:c r="P29" s="22" t="str">
        <x:v>Reported placement comparisons verified</x:v>
      </x:c>
      <x:c r="Q29" s="22" t="str">
        <x:v>Verified</x:v>
      </x:c>
      <x:c r="R29" s="17" t="str">
        <x:v>10.1145/3501803</x:v>
      </x:c>
      <x:c r="S29" s="17" t="str">
        <x:v>https://dl.acm.org/doi/10.1145/3501803</x:v>
      </x:c>
      <x:c r="T29" s="17" t="str">
        <x:v>2026-07-17</x:v>
      </x:c>
      <x:c r="U29" s="17" t="str"/>
    </x:row>
    <x:row r="30">
      <x:c r="A30" s="18" t="str">
        <x:v>P027</x:v>
      </x:c>
      <x:c r="B30" s="18" t="str">
        <x:v>Hardware Genetic Algorithms</x:v>
      </x:c>
      <x:c r="C30" s="17" t="str">
        <x:v>A High-Performance, Pipelined, FPGA-Based Genetic Algorithm Machine</x:v>
      </x:c>
      <x:c r="D30" s="17" t="str">
        <x:v>Barry Shackleford; Greg Snider; Richard J. Carter; Etsuko Okushi; Mitsuhiro Yasuda; Katsuhiko Seo; Hiroto Yasuura</x:v>
      </x:c>
      <x:c r="E30" s="17" t="str">
        <x:v>2001</x:v>
      </x:c>
      <x:c r="F30" s="17" t="str">
        <x:v>Genetic Programming and Evolvable Machines 2(1), 33-60</x:v>
      </x:c>
      <x:c r="G30" s="21" t="str">
        <x:v>D</x:v>
      </x:c>
      <x:c r="H30" s="17" t="str">
        <x:v>Multi-FPGA and single-FPGA GA prototypes</x:v>
      </x:c>
      <x:c r="I30" s="17" t="str">
        <x:v>Measured FPGA implementations</x:v>
      </x:c>
      <x:c r="J30" s="17" t="str">
        <x:v>Pipelined steady-state GA hardware couples problem-specific pipelined fitness circuits with FPGA-resident evolutionary operators.</x:v>
      </x:c>
      <x:c r="K30" s="17" t="str">
        <x:v>Reported prototypes include a 1 MHz multi-FPGA set-covering design at 2200x its stated workstation baseline and a 66 MHz single-FPGA protein-folding design at 320x its stated Pentium-II baseline.</x:v>
      </x:c>
      <x:c r="L30" s="17" t="str">
        <x:v>Old devices, problem-specific fitness circuits and historical workstation baselines prevent direct comparison with QFlow.</x:v>
      </x:c>
      <x:c r="M30" s="17" t="str">
        <x:v>Class D seminal pipelined hardware-GA precedent.</x:v>
      </x:c>
      <x:c r="N30" s="22" t="str">
        <x:v>Not a QKD routing-decision measurement</x:v>
      </x:c>
      <x:c r="O30" s="22" t="str">
        <x:v>Verified from Springer full text</x:v>
      </x:c>
      <x:c r="P30" s="22" t="str">
        <x:v>Prototype speedups and clock rates verified</x:v>
      </x:c>
      <x:c r="Q30" s="22" t="str">
        <x:v>Verified</x:v>
      </x:c>
      <x:c r="R30" s="17" t="str">
        <x:v>10.1023/A:1010018632078</x:v>
      </x:c>
      <x:c r="S30" s="17" t="str">
        <x:v>https://link.springer.com/article/10.1023/A:1010018632078</x:v>
      </x:c>
      <x:c r="T30" s="17" t="str">
        <x:v>2026-07-17</x:v>
      </x:c>
      <x:c r="U30" s="17" t="str"/>
    </x:row>
    <x:row r="31">
      <x:c r="A31" s="18" t="str">
        <x:v>P028</x:v>
      </x:c>
      <x:c r="B31" s="18" t="str">
        <x:v>Hardware Genetic Algorithms</x:v>
      </x:c>
      <x:c r="C31" s="17" t="str">
        <x:v>Hardware Implementation of Genetic Algorithms Using FPGA</x:v>
      </x:c>
      <x:c r="D31" s="17" t="str">
        <x:v>Wallace K. S. Tang; Leslie Yip</x:v>
      </x:c>
      <x:c r="E31" s="17" t="str">
        <x:v>2004</x:v>
      </x:c>
      <x:c r="F31" s="17" t="str">
        <x:v>47th IEEE Midwest Symposium on Circuits and Systems, Vol. 1, I-549-I-552</x:v>
      </x:c>
      <x:c r="G31" s="21" t="str">
        <x:v>D</x:v>
      </x:c>
      <x:c r="H31" s="17" t="str">
        <x:v>PCI FPGA GA processor</x:v>
      </x:c>
      <x:c r="I31" s="17" t="str">
        <x:v>FPGA architecture/implementation</x:v>
      </x:c>
      <x:c r="J31" s="17" t="str">
        <x:v>A PCI-board FPGA GA processor exposes parallel and pipelined configurations for optimization workloads.</x:v>
      </x:c>
      <x:c r="K31" s="17" t="str">
        <x:v>The architecture and implementation are verified; no normalized speedup is retained in this audit pass.</x:v>
      </x:c>
      <x:c r="L31" s="17" t="str">
        <x:v>Historical general-purpose GA implementation; no multi-objective quantum routing workload.</x:v>
      </x:c>
      <x:c r="M31" s="17" t="str">
        <x:v>Class D historical FPGA-GA context.</x:v>
      </x:c>
      <x:c r="N31" s="22" t="str">
        <x:v>Not a QKD routing-decision measurement</x:v>
      </x:c>
      <x:c r="O31" s="22" t="str">
        <x:v>Verified from institutional and IEEE-linked record</x:v>
      </x:c>
      <x:c r="P31" s="22" t="str">
        <x:v>Identity and architecture scope verified</x:v>
      </x:c>
      <x:c r="Q31" s="22" t="str">
        <x:v>Verified</x:v>
      </x:c>
      <x:c r="R31" s="17" t="str">
        <x:v>10.1109/MWSCAS.2004.1354049</x:v>
      </x:c>
      <x:c r="S31" s="17" t="str">
        <x:v>https://scholars.cityu.edu.hk/en/publications/hardware-implementation-of-genetic-algorithms-using-fpga/</x:v>
      </x:c>
      <x:c r="T31" s="17" t="str">
        <x:v>2026-07-17</x:v>
      </x:c>
      <x:c r="U31" s="17" t="str"/>
    </x:row>
    <x:row r="32">
      <x:c r="A32" s="18" t="str">
        <x:v>P029</x:v>
      </x:c>
      <x:c r="B32" s="18" t="str">
        <x:v>Fidelity-Aware Routing</x:v>
      </x:c>
      <x:c r="C32" s="17" t="str">
        <x:v>RELiQ: Scalable Entanglement Routing via Reinforcement Learning in Quantum Networks</x:v>
      </x:c>
      <x:c r="D32" s="17" t="str">
        <x:v>Tobias Meuser; Jannis Weil; Aninda Lahiri; Marius Paraschiv</x:v>
      </x:c>
      <x:c r="E32" s="17" t="str">
        <x:v>2026</x:v>
      </x:c>
      <x:c r="F32" s="17" t="str">
        <x:v>IEEE Transactions on Communications 74, 1860-1875</x:v>
      </x:c>
      <x:c r="G32" s="21" t="str">
        <x:v>C</x:v>
      </x:c>
      <x:c r="H32" s="17" t="str">
        <x:v>RL/GNN software; quantum-network simulation</x:v>
      </x:c>
      <x:c r="I32" s="17" t="str">
        <x:v>Network simulation</x:v>
      </x:c>
      <x:c r="J32" s="17" t="str">
        <x:v>RELiQ uses local information, iterative message exchange and a graph neural network trained on random graphs for entanglement routing.</x:v>
      </x:c>
      <x:c r="K32" s="17" t="str">
        <x:v>The authors report performance competitive with local and global-information heuristics across random and real-world topologies; no 1000-node or timing claim is retained here.</x:v>
      </x:c>
      <x:c r="L32" s="17" t="str">
        <x:v>Software/simulation method for entanglement networks, not QKD key-pool FPGA routing.</x:v>
      </x:c>
      <x:c r="M32" s="17" t="str">
        <x:v>Class C algorithmic counterpart; compare only under matched topology, demand and quantum-link models.</x:v>
      </x:c>
      <x:c r="N32" s="22" t="str">
        <x:v>Inference runtime not reported as a hardware-comparable metric</x:v>
      </x:c>
      <x:c r="O32" s="22" t="str">
        <x:v>Verified from IEEE and official arXiv records</x:v>
      </x:c>
      <x:c r="P32" s="22" t="str">
        <x:v>Qualitative comparison scope verified</x:v>
      </x:c>
      <x:c r="Q32" s="22" t="str">
        <x:v>Verified with claim restriction</x:v>
      </x:c>
      <x:c r="R32" s="17" t="str">
        <x:v>10.1109/TCOMM.2025.3640083</x:v>
      </x:c>
      <x:c r="S32" s="17" t="str">
        <x:v>https://ieeexplore.ieee.org/document/11275902</x:v>
      </x:c>
      <x:c r="T32" s="17" t="str">
        <x:v>2026-07-17</x:v>
      </x:c>
      <x:c r="U32" s="17" t="str">
        <x:v>Millisecond inference, 1000-repeater and 1000x-QFlow statements were not verified and are removed.</x:v>
      </x:c>
    </x:row>
    <x:row r="33">
      <x:c r="A33" s="18" t="str">
        <x:v>P030</x:v>
      </x:c>
      <x:c r="B33" s="18" t="str">
        <x:v>Fidelity-Aware Routing</x:v>
      </x:c>
      <x:c r="C33" s="17" t="str">
        <x:v>qRL: Reinforcement Learning Routing for Quantum Entanglement Networks</x:v>
      </x:c>
      <x:c r="D33" s="17" t="str">
        <x:v>Diego Medeiros de Abreu; Antônio Abelém</x:v>
      </x:c>
      <x:c r="E33" s="17" t="str">
        <x:v>2024</x:v>
      </x:c>
      <x:c r="F33" s="17" t="str">
        <x:v>2024 IEEE Symposium on Computers and Communications (ISCC)</x:v>
      </x:c>
      <x:c r="G33" s="21" t="str">
        <x:v>C</x:v>
      </x:c>
      <x:c r="H33" s="17" t="str">
        <x:v>Reinforcement-learning software; quantum-network simulation</x:v>
      </x:c>
      <x:c r="I33" s="17" t="str">
        <x:v>Network simulation</x:v>
      </x:c>
      <x:c r="J33" s="17" t="str">
        <x:v>qRL is a quantum-aware reinforcement-learning routing protocol for entanglement networks.</x:v>
      </x:c>
      <x:c r="K33" s="17" t="str">
        <x:v>The source supports comparative simulation evaluation; the workbook's two-stage swapping/purification and unspecified superiority statements are not retained as verified metrics.</x:v>
      </x:c>
      <x:c r="L33" s="17" t="str">
        <x:v>Software simulation; entanglement-routing scope differs from QKD key-pool routing and no measured inference latency is provided.</x:v>
      </x:c>
      <x:c r="M33" s="17" t="str">
        <x:v>Class C fidelity-aware algorithmic counterpart.</x:v>
      </x:c>
      <x:c r="N33" s="22" t="str">
        <x:v>Decision/inference runtime not reported</x:v>
      </x:c>
      <x:c r="O33" s="22" t="str">
        <x:v>Verified from IEEE publisher record</x:v>
      </x:c>
      <x:c r="P33" s="22" t="str">
        <x:v>Identity and protocol scope verified</x:v>
      </x:c>
      <x:c r="Q33" s="22" t="str">
        <x:v>Verified with claim restriction</x:v>
      </x:c>
      <x:c r="R33" s="17" t="str">
        <x:v>10.1109/ISCC61673.2024.10733623</x:v>
      </x:c>
      <x:c r="S33" s="17" t="str">
        <x:v>https://ieeexplore.ieee.org/document/10733623</x:v>
      </x:c>
      <x:c r="T33" s="17" t="str">
        <x:v>2026-07-17</x:v>
      </x:c>
      <x:c r="U33" s="17" t="str">
        <x:v>Method details and quantitative claims were broader than the verified publisher record.</x:v>
      </x:c>
    </x:row>
    <x:row r="34">
      <x:c r="A34" s="18" t="str">
        <x:v>P031</x:v>
      </x:c>
      <x:c r="B34" s="18" t="str">
        <x:v>Fidelity-Aware Routing</x:v>
      </x:c>
      <x:c r="C34" s="17" t="str">
        <x:v>QoS-Aware Reinforcement Learning Routing for Entanglement Networks</x:v>
      </x:c>
      <x:c r="D34" s="17" t="str">
        <x:v>Diego Abreu; Antônio Abelém</x:v>
      </x:c>
      <x:c r="E34" s="17" t="str">
        <x:v>2026</x:v>
      </x:c>
      <x:c r="F34" s="17" t="str">
        <x:v>Research Square preprint</x:v>
      </x:c>
      <x:c r="G34" s="21" t="str">
        <x:v>C</x:v>
      </x:c>
      <x:c r="H34" s="17" t="str">
        <x:v>RL software; preprint simulation</x:v>
      </x:c>
      <x:c r="I34" s="17" t="str">
        <x:v>Network simulation/preprint</x:v>
      </x:c>
      <x:c r="J34" s="17" t="str">
        <x:v>A QoS-aware RL scheme prioritizes entanglement requests and evaluates success, delay and fidelity across traffic classes.</x:v>
      </x:c>
      <x:c r="K34" s="17" t="str">
        <x:v>The preprint reports comparative simulation results; the workbook's exact fidelity-advantage intervals are held pending table-level verification.</x:v>
      </x:c>
      <x:c r="L34" s="17" t="str">
        <x:v>Non-peer-reviewed preprint; software simulation with no hardware routing implementation or measured inference latency.</x:v>
      </x:c>
      <x:c r="M34" s="17" t="str">
        <x:v>Class C emerging algorithmic context only.</x:v>
      </x:c>
      <x:c r="N34" s="22" t="str">
        <x:v>Decision/inference runtime not reported</x:v>
      </x:c>
      <x:c r="O34" s="22" t="str">
        <x:v>Verified from Research Square record</x:v>
      </x:c>
      <x:c r="P34" s="22" t="str">
        <x:v>Preprint identity and qualitative scope verified</x:v>
      </x:c>
      <x:c r="Q34" s="22" t="str">
        <x:v>Verified with claim restriction</x:v>
      </x:c>
      <x:c r="R34" s="17" t="str">
        <x:v>10.21203/rs.3.rs-8455670/v1</x:v>
      </x:c>
      <x:c r="S34" s="17" t="str">
        <x:v>https://www.researchsquare.com/article/rs-8455670/v1</x:v>
      </x:c>
      <x:c r="T34" s="17" t="str">
        <x:v>2026-07-17</x:v>
      </x:c>
      <x:c r="U34" s="17" t="str">
        <x:v>The workbook year was premature and exact quantitative intervals were not source-mapped.</x:v>
      </x:c>
    </x:row>
    <x:row r="35">
      <x:c r="A35" s="18" t="str">
        <x:v>P032</x:v>
      </x:c>
      <x:c r="B35" s="18" t="str">
        <x:v>Fidelity-Aware Routing</x:v>
      </x:c>
      <x:c r="C35" s="17" t="str">
        <x:v>Entanglement Routing for Quantum Networks: A Deep Reinforcement Learning Approach</x:v>
      </x:c>
      <x:c r="D35" s="17" t="str">
        <x:v>Linh Le; Tu N. Nguyen; Ahyoung Lee; Braulio Dumba</x:v>
      </x:c>
      <x:c r="E35" s="17" t="str">
        <x:v>2022</x:v>
      </x:c>
      <x:c r="F35" s="17" t="str">
        <x:v>ICC 2022 - IEEE International Conference on Communications, 395-400</x:v>
      </x:c>
      <x:c r="G35" s="21" t="str">
        <x:v>C</x:v>
      </x:c>
      <x:c r="H35" s="17" t="str">
        <x:v>Deep-RL software; quantum-network simulation</x:v>
      </x:c>
      <x:c r="I35" s="17" t="str">
        <x:v>Network simulation</x:v>
      </x:c>
      <x:c r="J35" s="17" t="str">
        <x:v>A deep quantum routing agent learns entanglement-routing decisions to serve demands while optimizing fidelity and rate objectives.</x:v>
      </x:c>
      <x:c r="K35" s="17" t="str">
        <x:v>Comparative simulation improvements are reported; the workbook's 20-node and unspecified significant-improvement wording is not retained as a normalized result.</x:v>
      </x:c>
      <x:c r="L35" s="17" t="str">
        <x:v>Conference simulation study, not IEEE TQE; no FPGA implementation or measured inference runtime.</x:v>
      </x:c>
      <x:c r="M35" s="17" t="str">
        <x:v>Class C early fidelity-aware DRL routing counterpart.</x:v>
      </x:c>
      <x:c r="N35" s="22" t="str">
        <x:v>Decision/inference runtime not reported</x:v>
      </x:c>
      <x:c r="O35" s="22" t="str">
        <x:v>Verified from IEEE publisher paper</x:v>
      </x:c>
      <x:c r="P35" s="22" t="str">
        <x:v>Identity, method and venue verified</x:v>
      </x:c>
      <x:c r="Q35" s="22" t="str">
        <x:v>Verified with claim restriction</x:v>
      </x:c>
      <x:c r="R35" s="17" t="str">
        <x:v>10.1109/ICC45855.2022.9839240</x:v>
      </x:c>
      <x:c r="S35" s="17" t="str">
        <x:v>https://ieeexplore.ieee.org/document/9839240</x:v>
      </x:c>
      <x:c r="T35" s="17" t="str">
        <x:v>2026-07-17</x:v>
      </x:c>
      <x:c r="U35" s="17" t="str">
        <x:v>Venue, authorship and unsupported metric detail corrected.</x:v>
      </x:c>
    </x:row>
    <x:row r="36">
      <x:c r="A36" s="18" t="str">
        <x:v>P033</x:v>
      </x:c>
      <x:c r="B36" s="18" t="str">
        <x:v>Fidelity-Aware Routing</x:v>
      </x:c>
      <x:c r="C36" s="17" t="str">
        <x:v>Robust Belief-State Policy Learning for Quantum Network Routing Under Decoherence and Time-Varying Conditions</x:v>
      </x:c>
      <x:c r="D36" s="17" t="str">
        <x:v>Amirhossein Taherpour; Abbas Taherpour; Tamer Khattab</x:v>
      </x:c>
      <x:c r="E36" s="17" t="str">
        <x:v>2025</x:v>
      </x:c>
      <x:c r="F36" s="17" t="str">
        <x:v>arXiv:2509.08654</x:v>
      </x:c>
      <x:c r="G36" s="21" t="str">
        <x:v>C</x:v>
      </x:c>
      <x:c r="H36" s="17" t="str">
        <x:v>GNN-POMDP software; quantum-network simulation</x:v>
      </x:c>
      <x:c r="I36" s="17" t="str">
        <x:v>Preprint simulation</x:v>
      </x:c>
      <x:c r="J36" s="17" t="str">
        <x:v>A feature-based POMDP combines belief-state planning and a GNN for routing under partial observability, decoherence and time-varying noise.</x:v>
      </x:c>
      <x:c r="K36" s="17" t="str">
        <x:v>The abstract reports simulated networks up to 100 nodes and qualitative improvements in fidelity and entanglement delivery.</x:v>
      </x:c>
      <x:c r="L36" s="17" t="str">
        <x:v>Preprint and software simulation only. The workbook's anonymous authorship, 300-node scale, exact fidelity, 1.4x delivery and 67% resource figures are not supported by the official abstract.</x:v>
      </x:c>
      <x:c r="M36" s="17" t="str">
        <x:v>Class C fidelity-aware algorithmic counterpart; compare utility only under a matched network model.</x:v>
      </x:c>
      <x:c r="N36" s="22" t="str">
        <x:v>Decision/inference runtime not reported</x:v>
      </x:c>
      <x:c r="O36" s="22" t="str">
        <x:v>Verified from official arXiv record</x:v>
      </x:c>
      <x:c r="P36" s="22" t="str">
        <x:v>Abstract-level scope verified; workbook numbers held</x:v>
      </x:c>
      <x:c r="Q36" s="22" t="str">
        <x:v>Verified with claim restriction</x:v>
      </x:c>
      <x:c r="R36" s="17" t="str">
        <x:v>10.48550/arXiv.2509.08654</x:v>
      </x:c>
      <x:c r="S36" s="17" t="str">
        <x:v>https://arxiv.org/abs/2509.08654</x:v>
      </x:c>
      <x:c r="T36" s="17" t="str">
        <x:v>2026-07-17</x:v>
      </x:c>
      <x:c r="U36" s="17" t="str">
        <x:v>Unsupported exact metrics and 300-node claim removed.</x:v>
      </x:c>
    </x:row>
    <x:row r="37">
      <x:c r="A37" s="18" t="str">
        <x:v>P034</x:v>
      </x:c>
      <x:c r="B37" s="18" t="str">
        <x:v>Fidelity-Aware Routing</x:v>
      </x:c>
      <x:c r="C37" s="17" t="str">
        <x:v>Optimal key forwarding strategy in QKD behaviours</x:v>
      </x:c>
      <x:c r="D37" s="17" t="str">
        <x:v>Alin-Bogdan Popa; Pantelimon George Popescu</x:v>
      </x:c>
      <x:c r="E37" s="17" t="str">
        <x:v>2024</x:v>
      </x:c>
      <x:c r="F37" s="17" t="str">
        <x:v>Scientific Reports 14, Article 13977</x:v>
      </x:c>
      <x:c r="G37" s="21" t="str">
        <x:v>C</x:v>
      </x:c>
      <x:c r="H37" s="17" t="str">
        <x:v>Linear-programming model; simulated QKD networks</x:v>
      </x:c>
      <x:c r="I37" s="17" t="str">
        <x:v>Network optimization simulation</x:v>
      </x:c>
      <x:c r="J37" s="17" t="str">
        <x:v>The paper formalizes KMS-level QKD-key forwarding and redistribution as linear programs for all-to-all, one-to-all and one-to-one scenarios.</x:v>
      </x:c>
      <x:c r="K37" s="17" t="str">
        <x:v>It evaluates forwarding and key consumption on simulated QKD networks; no FPGA routing result is reported.</x:v>
      </x:c>
      <x:c r="L37" s="17" t="str">
        <x:v>KMS-level optimization and simulation; the workbook's Mehic authorship is incorrect and no hardware latency is supplied.</x:v>
      </x:c>
      <x:c r="M37" s="17" t="str">
        <x:v>Class C network-utility context if topology, demand and key-generation assumptions are matched.</x:v>
      </x:c>
      <x:c r="N37" s="22" t="str">
        <x:v>Solver/runtime is not a QFlow-equivalent routing-decision latency</x:v>
      </x:c>
      <x:c r="O37" s="22" t="str">
        <x:v>Verified from publisher full text</x:v>
      </x:c>
      <x:c r="P37" s="22" t="str">
        <x:v>Identity, method and qualitative evaluation scope verified</x:v>
      </x:c>
      <x:c r="Q37" s="22" t="str">
        <x:v>Verified with bibliographic correction</x:v>
      </x:c>
      <x:c r="R37" s="17" t="str">
        <x:v>10.1038/s41598-024-64994-6</x:v>
      </x:c>
      <x:c r="S37" s="17" t="str">
        <x:v>https://www.nature.com/articles/s41598-024-64994-6</x:v>
      </x:c>
      <x:c r="T37" s="17" t="str">
        <x:v>2026-07-17</x:v>
      </x:c>
      <x:c r="U37" s="17" t="str">
        <x:v>Authors corrected from the workbook.</x:v>
      </x:c>
    </x:row>
    <x:row r="38">
      <x:c r="A38" s="18" t="str">
        <x:v>P035</x:v>
      </x:c>
      <x:c r="B38" s="18" t="str">
        <x:v>TSN &amp; Deterministic Networking</x:v>
      </x:c>
      <x:c r="C38" s="17" t="str">
        <x:v>Time-Sensitive Networking (TSN) for Industrial Automation: Current Advances and Future Directions</x:v>
      </x:c>
      <x:c r="D38" s="17" t="str">
        <x:v>Tianyu Zhang; Gang Wang; Chuanyu Xue; Jiachen Wang; Mark Nixon; Song Han</x:v>
      </x:c>
      <x:c r="E38" s="17" t="str">
        <x:v>2025</x:v>
      </x:c>
      <x:c r="F38" s="17" t="str">
        <x:v>ACM Computing Surveys 57(2), Article 30, 1-38</x:v>
      </x:c>
      <x:c r="G38" s="21" t="str">
        <x:v>D</x:v>
      </x:c>
      <x:c r="H38" s="17" t="str">
        <x:v>Survey; industrial TSN systems</x:v>
      </x:c>
      <x:c r="I38" s="17" t="str">
        <x:v>Systematic survey</x:v>
      </x:c>
      <x:c r="J38" s="17" t="str">
        <x:v>A broad survey organizes TSN standards, scheduling and industrial deployment challenges.</x:v>
      </x:c>
      <x:c r="K38" s="17" t="str">
        <x:v>Survey evidence only; it does not provide a same-workload QKD routing implementation.</x:v>
      </x:c>
      <x:c r="L38" s="17" t="str">
        <x:v>Classical TSN domain and no QKD key-pool/fidelity semantics. The final ACM citation supersedes the workbook's generic 2023 arXiv citation.</x:v>
      </x:c>
      <x:c r="M38" s="17" t="str">
        <x:v>Class D deterministic-networking context only.</x:v>
      </x:c>
      <x:c r="N38" s="22" t="str">
        <x:v>No QFlow-equivalent routing-decision latency</x:v>
      </x:c>
      <x:c r="O38" s="22" t="str">
        <x:v>Verified from ACM DOI and official preprint</x:v>
      </x:c>
      <x:c r="P38" s="22" t="str">
        <x:v>Identity and survey scope verified</x:v>
      </x:c>
      <x:c r="Q38" s="22" t="str">
        <x:v>Verified with bibliographic correction</x:v>
      </x:c>
      <x:c r="R38" s="17" t="str">
        <x:v>10.1145/3695248</x:v>
      </x:c>
      <x:c r="S38" s="17" t="str">
        <x:v>https://doi.org/10.1145/3695248</x:v>
      </x:c>
      <x:c r="T38" s="17" t="str">
        <x:v>2026-07-17</x:v>
      </x:c>
      <x:c r="U38" s="17" t="str">
        <x:v>Final ACM year, venue and authors corrected.</x:v>
      </x:c>
    </x:row>
    <x:row r="39">
      <x:c r="A39" s="18" t="str">
        <x:v>P036</x:v>
      </x:c>
      <x:c r="B39" s="18" t="str">
        <x:v>TSN &amp; Deterministic Networking</x:v>
      </x:c>
      <x:c r="C39" s="17" t="str">
        <x:v>Real-Time Scheduling for 802.1Qbv Time-Sensitive Networking (TSN): A Systematic Review and Experimental Study</x:v>
      </x:c>
      <x:c r="D39" s="17" t="str">
        <x:v>Chuanyu Xue; Tianyu Zhang; Yuanbin Zhou; Mark Nixon; Andrew Loveless; Song Han</x:v>
      </x:c>
      <x:c r="E39" s="17" t="str">
        <x:v>2024</x:v>
      </x:c>
      <x:c r="F39" s="17" t="str">
        <x:v>2024 IEEE RTAS, 108-121</x:v>
      </x:c>
      <x:c r="G39" s="21" t="str">
        <x:v>D</x:v>
      </x:c>
      <x:c r="H39" s="17" t="str">
        <x:v>Python scheduling implementations; TSN simulator and 8-bridge testbed</x:v>
      </x:c>
      <x:c r="I39" s="17" t="str">
        <x:v>Survey, simulation and testbed</x:v>
      </x:c>
      <x:c r="J39" s="17" t="str">
        <x:v>The study categorizes and evaluates 17 TAS scheduling methods using simulation plus an eight-bridge, eight-end-station TSN testbed.</x:v>
      </x:c>
      <x:c r="K39" s="17" t="str">
        <x:v>It reports schedulability, scalability and schedule-quality comparisons; no QKD routing datapath is evaluated.</x:v>
      </x:c>
      <x:c r="L39" s="17" t="str">
        <x:v>TSN scheduling boundaries and traffic semantics differ from QKD routing. Testbed propagation/processing measurements cannot be relabeled as algorithm-decision latency.</x:v>
      </x:c>
      <x:c r="M39" s="17" t="str">
        <x:v>Class D methodology and benchmarking context.</x:v>
      </x:c>
      <x:c r="N39" s="22" t="str">
        <x:v>Measured TSN delays are not QFlow decision latency</x:v>
      </x:c>
      <x:c r="O39" s="22" t="str">
        <x:v>Verified from IEEE paper and official arXiv full text</x:v>
      </x:c>
      <x:c r="P39" s="22" t="str">
        <x:v>Seventeen-method evaluation and testbed verified</x:v>
      </x:c>
      <x:c r="Q39" s="22" t="str">
        <x:v>Verified with bibliographic correction</x:v>
      </x:c>
      <x:c r="R39" s="17" t="str">
        <x:v>10.1109/RTAS61025.2024.00017</x:v>
      </x:c>
      <x:c r="S39" s="17" t="str">
        <x:v>https://ieeexplore.ieee.org/document/10568056</x:v>
      </x:c>
      <x:c r="T39" s="17" t="str">
        <x:v>2026-07-17</x:v>
      </x:c>
      <x:c r="U39" s="17" t="str">
        <x:v>Venue corrected from a generic transaction citation to RTAS 2024.</x:v>
      </x:c>
    </x:row>
    <x:row r="40">
      <x:c r="A40" s="18" t="str">
        <x:v>P037</x:v>
      </x:c>
      <x:c r="B40" s="18" t="str">
        <x:v>TSN &amp; Deterministic Networking</x:v>
      </x:c>
      <x:c r="C40" s="17" t="str">
        <x:v>Configuring the IEEE 802.1Qbv Time-aware shaper with deep reinforcement learning</x:v>
      </x:c>
      <x:c r="D40" s="17" t="str">
        <x:v>Adrien Roberty; Siwar Ben Hadj Said; Frédéric Ridouard; Henri Bauer; Annie Geniet</x:v>
      </x:c>
      <x:c r="E40" s="17" t="str">
        <x:v>2023</x:v>
      </x:c>
      <x:c r="F40" s="17" t="str">
        <x:v>HAL preprint cea-04156793v1</x:v>
      </x:c>
      <x:c r="G40" s="21" t="str">
        <x:v>D</x:v>
      </x:c>
      <x:c r="H40" s="17" t="str">
        <x:v>Deep-RL software; IEEE 802.1Qbv TSN scheduling</x:v>
      </x:c>
      <x:c r="I40" s="17" t="str">
        <x:v>Preprint/conference simulation</x:v>
      </x:c>
      <x:c r="J40" s="17" t="str">
        <x:v>The work applies deep reinforcement learning to configuration of the IEEE 802.1Qbv time-aware shaper.</x:v>
      </x:c>
      <x:c r="K40" s="17" t="str">
        <x:v>The audit retains only the verified DRL/TSN scheduling scope; workbook timing and superiority claims are not carried forward without exact result mapping.</x:v>
      </x:c>
      <x:c r="L40" s="17" t="str">
        <x:v>Classical TSN problem, software learning and no QKD-specific objectives or FPGA routing datapath.</x:v>
      </x:c>
      <x:c r="M40" s="17" t="str">
        <x:v>Class D adjacent scheduling context; not a direct baseline.</x:v>
      </x:c>
      <x:c r="N40" s="22" t="str">
        <x:v>No QFlow-equivalent measured decision latency</x:v>
      </x:c>
      <x:c r="O40" s="22" t="str">
        <x:v>Verified from official HAL record</x:v>
      </x:c>
      <x:c r="P40" s="22" t="str">
        <x:v>Identity and DRL scheduling scope verified</x:v>
      </x:c>
      <x:c r="Q40" s="22" t="str">
        <x:v>Verified with claim restriction</x:v>
      </x:c>
      <x:c r="R40" s="17" t="str">
        <x:v>HAL cea-04156793v1</x:v>
      </x:c>
      <x:c r="S40" s="17" t="str">
        <x:v>https://cea.hal.science/cea-04156793</x:v>
      </x:c>
      <x:c r="T40" s="17" t="str">
        <x:v>2026-07-17</x:v>
      </x:c>
      <x:c r="U40" s="17" t="str">
        <x:v>Workbook venue and quantitative claims were not source-mapped.</x:v>
      </x:c>
    </x:row>
    <x:row r="41">
      <x:c r="A41" s="18" t="str">
        <x:v>P038</x:v>
      </x:c>
      <x:c r="B41" s="18" t="str">
        <x:v>Network Processing Architecture</x:v>
      </x:c>
      <x:c r="C41" s="17" t="str">
        <x:v>P4: Programming Protocol-Independent Packet Processors</x:v>
      </x:c>
      <x:c r="D41" s="17" t="str">
        <x:v>Pat Bosshart; Dan Daly; Glen Gibb; Martin Izzard; Nick McKeown; Jennifer Rexford; Cole Schlesinger; Dan Talayco; Amin Vahdat; George Varghese; David Walker</x:v>
      </x:c>
      <x:c r="E41" s="17" t="str">
        <x:v>2014</x:v>
      </x:c>
      <x:c r="F41" s="17" t="str">
        <x:v>ACM SIGCOMM Computer Communication Review 44(3), 87-95</x:v>
      </x:c>
      <x:c r="G41" s="21" t="str">
        <x:v>D</x:v>
      </x:c>
      <x:c r="H41" s="17" t="str">
        <x:v>Target-independent programmable packet-processing language</x:v>
      </x:c>
      <x:c r="I41" s="17" t="str">
        <x:v>Architecture/language paper</x:v>
      </x:c>
      <x:c r="J41" s="17" t="str">
        <x:v>P4 proposes a high-level language for reconfigurable, protocol-independent and target-independent packet processors.</x:v>
      </x:c>
      <x:c r="K41" s="17" t="str">
        <x:v>The paper is an architectural/language contribution; the workbook's in-network-computing title and nanosecond/throughput bundle are not its verified result.</x:v>
      </x:c>
      <x:c r="L41" s="17" t="str">
        <x:v>P4 targets classical packet processing and does not implement QFlow's optimization kernel or QKD state model.</x:v>
      </x:c>
      <x:c r="M41" s="17" t="str">
        <x:v>Class D programmable-data-plane precedent only.</x:v>
      </x:c>
      <x:c r="N41" s="22" t="str">
        <x:v>No QFlow-equivalent decision latency</x:v>
      </x:c>
      <x:c r="O41" s="22" t="str">
        <x:v>Workbook identity conflated; canonical P4 paper verified</x:v>
      </x:c>
      <x:c r="P41" s="22" t="str">
        <x:v>No in-network-computing or nanosecond result retained</x:v>
      </x:c>
      <x:c r="Q41" s="22" t="str">
        <x:v>Repaired to canonical source</x:v>
      </x:c>
      <x:c r="R41" s="17" t="str">
        <x:v>10.1145/2656877.2656890</x:v>
      </x:c>
      <x:c r="S41" s="17" t="str">
        <x:v>https://dl.acm.org/doi/10.1145/2656877.2656890</x:v>
      </x:c>
      <x:c r="T41" s="17" t="str">
        <x:v>2026-07-17</x:v>
      </x:c>
      <x:c r="U41" s="17" t="str">
        <x:v>Workbook title and quantitative claims conflated distinct P4 literature.</x:v>
      </x:c>
    </x:row>
    <x:row r="42">
      <x:c r="A42" s="18" t="str">
        <x:v>P039</x:v>
      </x:c>
      <x:c r="B42" s="18" t="str">
        <x:v>Network Processing Architecture</x:v>
      </x:c>
      <x:c r="C42" s="17" t="str">
        <x:v>Packet Transactions: High-Level Programming for Line-Rate Switches</x:v>
      </x:c>
      <x:c r="D42" s="17" t="str">
        <x:v>Anirudh Sivaraman; Alvin Cheung; Mihai Budiu; Changhoon Kim; Mohammad Alizadeh; Hari Balakrishnan; George Varghese; Nick McKeown; Steve Licking</x:v>
      </x:c>
      <x:c r="E42" s="17" t="str">
        <x:v>2016</x:v>
      </x:c>
      <x:c r="F42" s="17" t="str">
        <x:v>ACM SIGCOMM 2016, 15-28</x:v>
      </x:c>
      <x:c r="G42" s="21" t="str">
        <x:v>D</x:v>
      </x:c>
      <x:c r="H42" s="17" t="str">
        <x:v>Programmable line-rate switch chips</x:v>
      </x:c>
      <x:c r="I42" s="17" t="str">
        <x:v>Architecture/compiler evaluation</x:v>
      </x:c>
      <x:c r="J42" s="17" t="str">
        <x:v>Packet transactions and a compiler express and map stateful data-plane algorithms to programmable line-rate switch chips.</x:v>
      </x:c>
      <x:c r="K42" s="17" t="str">
        <x:v>The all-or-nothing compiler guarantee concerns accepted programs running at line rate; it is not a QKD-routing speed result.</x:v>
      </x:c>
      <x:c r="L42" s="17" t="str">
        <x:v>The workbook's 2022 IEEE Micro title was not verified in exact-title/author searches. The substituted canonical source has a different identity and scope.</x:v>
      </x:c>
      <x:c r="M42" s="17" t="str">
        <x:v>Class D high-speed data-plane architecture context only.</x:v>
      </x:c>
      <x:c r="N42" s="22" t="str">
        <x:v>Packet-pipeline rate is not optimization-decision latency</x:v>
      </x:c>
      <x:c r="O42" s="22" t="str">
        <x:v>Workbook citation not located; closest author-matched primary work substituted</x:v>
      </x:c>
      <x:c r="P42" s="22" t="str">
        <x:v>Line-rate compilation scope verified</x:v>
      </x:c>
      <x:c r="Q42" s="22" t="str">
        <x:v>Repaired with replacement source</x:v>
      </x:c>
      <x:c r="R42" s="17" t="str">
        <x:v>10.1145/2934872.2934900</x:v>
      </x:c>
      <x:c r="S42" s="17" t="str">
        <x:v>https://dl.acm.org/doi/10.1145/2934872.2934900</x:v>
      </x:c>
      <x:c r="T42" s="17" t="str">
        <x:v>2026-07-17</x:v>
      </x:c>
      <x:c r="U42" s="17" t="str">
        <x:v>Original citation identity not verified; canonical Sivaraman line-rate work used as explicit replacement.</x:v>
      </x:c>
    </x:row>
    <x:row r="43">
      <x:c r="A43" s="18" t="str">
        <x:v>P040</x:v>
      </x:c>
      <x:c r="B43" s="18" t="str">
        <x:v>FPGA Math &amp; DSP</x:v>
      </x:c>
      <x:c r="C43" s="17" t="str">
        <x:v>Piecewise-Linear Approximation of Mathematical Functions in FPGA: Survey and Design Methodology</x:v>
      </x:c>
      <x:c r="D43" s="17" t="str">
        <x:v>Unverified (workbook lists Dong et al.)</x:v>
      </x:c>
      <x:c r="E43" s="17" t="str">
        <x:v>2021</x:v>
      </x:c>
      <x:c r="F43" s="17" t="str">
        <x:v>Unverified (workbook lists IEEE TVLSI)</x:v>
      </x:c>
      <x:c r="G43" s="21" t="str">
        <x:v>D</x:v>
      </x:c>
      <x:c r="H43" s="17" t="str">
        <x:v>Unverified workbook citation</x:v>
      </x:c>
      <x:c r="I43" s="17" t="str">
        <x:v>Publisher-search exclusion record</x:v>
      </x:c>
      <x:c r="J43" s="17" t="str">
        <x:v>The workbook describes piecewise-linear function approximation on FPGA, but the cited title/author/venue combination was not verified.</x:v>
      </x:c>
      <x:c r="K43" s="17" t="str">
        <x:v>All claimed accuracy, resource and latency figures are excluded from the controlled evidence set.</x:v>
      </x:c>
      <x:c r="L43" s="17" t="str">
        <x:v>No attributable primary source means the row cannot support implementation or performance claims.</x:v>
      </x:c>
      <x:c r="M43" s="17" t="str">
        <x:v>Exclude from defense evidence; a separately sourced fixed-point/PWL implementation may be added later as Class D context.</x:v>
      </x:c>
      <x:c r="N43" s="22" t="str">
        <x:v>Not reported</x:v>
      </x:c>
      <x:c r="O43" s="22" t="str">
        <x:v>Exact citation not verified</x:v>
      </x:c>
      <x:c r="P43" s="22" t="str">
        <x:v>No workbook metric retained</x:v>
      </x:c>
      <x:c r="Q43" s="22" t="str">
        <x:v>Excluded - identity not verified</x:v>
      </x:c>
      <x:c r="R43" s="17" t="str">
        <x:v>No DOI located for exact workbook citation</x:v>
      </x:c>
      <x:c r="S43" s="17" t="str">
        <x:v>https://ieeexplore.ieee.org/search/searchresult.jsp?queryText=%22Piecewise-Linear%20Approximation%20of%20Mathematical%20Functions%20in%20FPGA%22</x:v>
      </x:c>
      <x:c r="T43" s="17" t="str">
        <x:v>2026-07-17</x:v>
      </x:c>
      <x:c r="U43" s="17" t="str">
        <x:v>Exact-title and publisher searches did not establish the cited work.</x:v>
      </x:c>
    </x:row>
    <x:row r="44">
      <x:c r="A44" s="18" t="str">
        <x:v>P041</x:v>
      </x:c>
      <x:c r="B44" s="18" t="str">
        <x:v>FPGA Math &amp; DSP</x:v>
      </x:c>
      <x:c r="C44" s="17" t="str">
        <x:v>Hardware-Efficient Random Number Generation for FPGAs: Xorshift and LFSR Comparison</x:v>
      </x:c>
      <x:c r="D44" s="17" t="str">
        <x:v>Unverified (workbook lists Marsaglia et al.)</x:v>
      </x:c>
      <x:c r="E44" s="17" t="str">
        <x:v>2020</x:v>
      </x:c>
      <x:c r="F44" s="17" t="str">
        <x:v>Unverified (workbook lists ACM TRETS)</x:v>
      </x:c>
      <x:c r="G44" s="21" t="str">
        <x:v>D</x:v>
      </x:c>
      <x:c r="H44" s="17" t="str">
        <x:v>Unverified workbook citation</x:v>
      </x:c>
      <x:c r="I44" s="17" t="str">
        <x:v>Publisher-search exclusion record</x:v>
      </x:c>
      <x:c r="J44" s="17" t="str">
        <x:v>The workbook describes FPGA pseudorandom-number generation, but the cited title/author/venue combination was not verified.</x:v>
      </x:c>
      <x:c r="K44" s="17" t="str">
        <x:v>All claimed period, resource, throughput and statistical-quality figures are excluded.</x:v>
      </x:c>
      <x:c r="L44" s="17" t="str">
        <x:v>Marsaglia's xorshift work and FPGA RNG surveys exist, but that does not verify this composite citation.</x:v>
      </x:c>
      <x:c r="M44" s="17" t="str">
        <x:v>Exclude from defense evidence; only independently sourced RNG implementation results may be used.</x:v>
      </x:c>
      <x:c r="N44" s="22" t="str">
        <x:v>Not reported</x:v>
      </x:c>
      <x:c r="O44" s="22" t="str">
        <x:v>Exact citation not verified</x:v>
      </x:c>
      <x:c r="P44" s="22" t="str">
        <x:v>No workbook metric retained</x:v>
      </x:c>
      <x:c r="Q44" s="22" t="str">
        <x:v>Excluded - identity not verified</x:v>
      </x:c>
      <x:c r="R44" s="17" t="str">
        <x:v>No DOI located for exact workbook citation</x:v>
      </x:c>
      <x:c r="S44" s="17" t="str">
        <x:v>https://dl.acm.org/action/doSearch?AllField=%22Hardware-Efficient+Random+Number+Generation+for+FPGAs%22</x:v>
      </x:c>
      <x:c r="T44" s="17" t="str">
        <x:v>2026-07-17</x:v>
      </x:c>
      <x:c r="U44" s="17" t="str">
        <x:v>Exact-title and publisher searches did not establish the cited work.</x:v>
      </x:c>
    </x:row>
    <x:row r="45">
      <x:c r="A45" s="18" t="str">
        <x:v>P042</x:v>
      </x:c>
      <x:c r="B45" s="18" t="str">
        <x:v>Quantum Network Simulation</x:v>
      </x:c>
      <x:c r="C45" s="17" t="str">
        <x:v>A Survey of Quantum Key Distribution (QKD) Network Simulation Platforms</x:v>
      </x:c>
      <x:c r="D45" s="17" t="str">
        <x:v>Aravind Aji; Kurunandan Jain; Prabhakar Krishnan</x:v>
      </x:c>
      <x:c r="E45" s="17" t="str">
        <x:v>2021</x:v>
      </x:c>
      <x:c r="F45" s="17" t="str">
        <x:v>2021 2nd Global Conference for Advancement in Technology (GCAT)</x:v>
      </x:c>
      <x:c r="G45" s="21" t="str">
        <x:v>D</x:v>
      </x:c>
      <x:c r="H45" s="17" t="str">
        <x:v>Survey of QKD-network simulation tools</x:v>
      </x:c>
      <x:c r="I45" s="17" t="str">
        <x:v>Conference survey</x:v>
      </x:c>
      <x:c r="J45" s="17" t="str">
        <x:v>The survey profiles QKD-network simulation frameworks and their capabilities.</x:v>
      </x:c>
      <x:c r="K45" s="17" t="str">
        <x:v>Survey comparison only; no FPGA routing measurement or same-workload baseline is reported.</x:v>
      </x:c>
      <x:c r="L45" s="17" t="str">
        <x:v>The workbook's 'multiple authors' and IEEE HPSR venue are incorrect.</x:v>
      </x:c>
      <x:c r="M45" s="17" t="str">
        <x:v>Class D simulator-selection and validation context.</x:v>
      </x:c>
      <x:c r="N45" s="22" t="str">
        <x:v>No routing-decision latency</x:v>
      </x:c>
      <x:c r="O45" s="22" t="str">
        <x:v>Verified from IEEE record</x:v>
      </x:c>
      <x:c r="P45" s="22" t="str">
        <x:v>Identity, authors and conference corrected</x:v>
      </x:c>
      <x:c r="Q45" s="22" t="str">
        <x:v>Verified with bibliographic correction</x:v>
      </x:c>
      <x:c r="R45" s="17" t="str">
        <x:v>10.1109/GCAT52182.2021.9587708</x:v>
      </x:c>
      <x:c r="S45" s="17" t="str">
        <x:v>https://ieeexplore.ieee.org/document/9587708</x:v>
      </x:c>
      <x:c r="T45" s="17" t="str">
        <x:v>2026-07-17</x:v>
      </x:c>
      <x:c r="U45" s="17" t="str">
        <x:v>Authors, venue and DOI corrected.</x:v>
      </x:c>
    </x:row>
    <x:row r="46">
      <x:c r="A46" s="18" t="str">
        <x:v>P043</x:v>
      </x:c>
      <x:c r="B46" s="18" t="str">
        <x:v>Quantum Network Simulation</x:v>
      </x:c>
      <x:c r="C46" s="17" t="str">
        <x:v>NetSquid, a NETwork Simulator for QUantum Information using Discrete events</x:v>
      </x:c>
      <x:c r="D46" s="17" t="str">
        <x:v>Tim Coopmans; Robert Knegjens; Axel Dahlberg; David Maier; Loek Nijsten; Julio de Oliveira Filho; Martijn Papendrecht; Julian Rabbie; Filip Rozpędek; Matthew Skrzypczyk; Leon Wubben; Walter de Jong; Damian Podareanu; Ariana Torres-Knoop; David Elkouss; Stephanie Wehner</x:v>
      </x:c>
      <x:c r="E46" s="17" t="str">
        <x:v>2021</x:v>
      </x:c>
      <x:c r="F46" s="17" t="str">
        <x:v>Communications Physics 4, Article 164</x:v>
      </x:c>
      <x:c r="G46" s="21" t="str">
        <x:v>D</x:v>
      </x:c>
      <x:c r="H46" s="17" t="str">
        <x:v>Python/Cython discrete-event quantum-network simulator</x:v>
      </x:c>
      <x:c r="I46" s="17" t="str">
        <x:v>Simulator paper and use cases</x:v>
      </x:c>
      <x:c r="J46" s="17" t="str">
        <x:v>NetSquid is a modular discrete-event simulator spanning quantum physical models, control protocols and applications.</x:v>
      </x:c>
      <x:c r="K46" s="17" t="str">
        <x:v>The paper demonstrates use cases including repeater chains and a scalability example up to 1000 nodes.</x:v>
      </x:c>
      <x:c r="L46" s="17" t="str">
        <x:v>Simulator scale and execution time are experimental-model properties, not FPGA routing latency or throughput.</x:v>
      </x:c>
      <x:c r="M46" s="17" t="str">
        <x:v>Class D simulation-platform context; useful for future matched network experiments.</x:v>
      </x:c>
      <x:c r="N46" s="22" t="str">
        <x:v>Simulation runtime is not routing-decision latency</x:v>
      </x:c>
      <x:c r="O46" s="22" t="str">
        <x:v>Verified from publisher full text</x:v>
      </x:c>
      <x:c r="P46" s="22" t="str">
        <x:v>Simulator scope and up-to-1000-node example verified</x:v>
      </x:c>
      <x:c r="Q46" s="22" t="str">
        <x:v>Verified with title normalization</x:v>
      </x:c>
      <x:c r="R46" s="17" t="str">
        <x:v>10.1038/s42005-021-00647-8</x:v>
      </x:c>
      <x:c r="S46" s="17" t="str">
        <x:v>https://www.nature.com/articles/s42005-021-00647-8</x:v>
      </x:c>
      <x:c r="T46" s="17" t="str">
        <x:v>2026-07-17</x:v>
      </x:c>
      <x:c r="U46" s="17" t="str">
        <x:v>Title normalized to the publisher version.</x:v>
      </x:c>
    </x:row>
    <x:row r="47">
      <x:c r="A47" s="18" t="str">
        <x:v>P044</x:v>
      </x:c>
      <x:c r="B47" s="18" t="str">
        <x:v>QKD Physical Layer &amp; KMS</x:v>
      </x:c>
      <x:c r="C47" s="17" t="str">
        <x:v>Information reconciliation of continuous-variables quantum key distribution: principles, implementations and applications</x:v>
      </x:c>
      <x:c r="D47" s="17" t="str">
        <x:v>Shenshen Yang; Zhilei Yan; Hongzhao Yang; Qing Lu; Zhenguo Lu; Liuyong Cheng; Xiangyang Miao; Yongmin Li</x:v>
      </x:c>
      <x:c r="E47" s="17" t="str">
        <x:v>2023</x:v>
      </x:c>
      <x:c r="F47" s="17" t="str">
        <x:v>EPJ Quantum Technology 10, Article 40</x:v>
      </x:c>
      <x:c r="G47" s="21" t="str">
        <x:v>D</x:v>
      </x:c>
      <x:c r="H47" s="17" t="str">
        <x:v>Review of CV-QKD reconciliation software/hardware</x:v>
      </x:c>
      <x:c r="I47" s="17" t="str">
        <x:v>Review article</x:v>
      </x:c>
      <x:c r="J47" s="17" t="str">
        <x:v>The review covers CV-QKD information-reconciliation principles, codes, rate compatibility and hardware acceleration.</x:v>
      </x:c>
      <x:c r="K47" s="17" t="str">
        <x:v>It summarizes component throughput, efficiency and frame-error-rate concerns; it does not report QKD route selection.</x:v>
      </x:c>
      <x:c r="L47" s="17" t="str">
        <x:v>Post-processing review only; component throughput cannot be used as routing-decision latency.</x:v>
      </x:c>
      <x:c r="M47" s="17" t="str">
        <x:v>Class D QKD post-processing and hardware-acceleration context.</x:v>
      </x:c>
      <x:c r="N47" s="22" t="str">
        <x:v>Routing-decision latency not applicable</x:v>
      </x:c>
      <x:c r="O47" s="22" t="str">
        <x:v>Verified from publisher full text</x:v>
      </x:c>
      <x:c r="P47" s="22" t="str">
        <x:v>Identity and review scope verified</x:v>
      </x:c>
      <x:c r="Q47" s="22" t="str">
        <x:v>Verified with bibliographic correction</x:v>
      </x:c>
      <x:c r="R47" s="17" t="str">
        <x:v>10.1140/epjqt/s40507-023-00197-8</x:v>
      </x:c>
      <x:c r="S47" s="17" t="str">
        <x:v>https://link.springer.com/article/10.1140/epjqt/s40507-023-00197-8</x:v>
      </x:c>
      <x:c r="T47" s="17" t="str">
        <x:v>2026-07-17</x:v>
      </x:c>
      <x:c r="U47" s="17" t="str">
        <x:v>Full authorship and exact publisher title supplied.</x:v>
      </x:c>
    </x:row>
    <x:row r="48">
      <x:c r="A48" s="18" t="str">
        <x:v>P045</x:v>
      </x:c>
      <x:c r="B48" s="18" t="str">
        <x:v>QKD Physical Layer &amp; KMS</x:v>
      </x:c>
      <x:c r="C48" s="17" t="str">
        <x:v>Quantum Key Distribution: A Networking Perspective</x:v>
      </x:c>
      <x:c r="D48" s="17" t="str">
        <x:v>Miralem Mehic; Marcin Niemiec; Stefan Rass; Jiajun Ma; Momtchil Peev; Alejandro Aguado; Vicente Martin; Stefan Schauer; Andreas Poppe; Christoph Pacher; Miroslav Voznak</x:v>
      </x:c>
      <x:c r="E48" s="17" t="str">
        <x:v>2020</x:v>
      </x:c>
      <x:c r="F48" s="17" t="str">
        <x:v>ACM Computing Surveys 53(5), Article 96, 1-41</x:v>
      </x:c>
      <x:c r="G48" s="21" t="str">
        <x:v>D</x:v>
      </x:c>
      <x:c r="H48" s="17" t="str">
        <x:v>Survey of QKD networking</x:v>
      </x:c>
      <x:c r="I48" s="17" t="str">
        <x:v>Survey article</x:v>
      </x:c>
      <x:c r="J48" s="17" t="str">
        <x:v>The survey reviews QKD networking architecture, protocols, deployments and engineering challenges.</x:v>
      </x:c>
      <x:c r="K48" s="17" t="str">
        <x:v>Survey evidence only; it does not establish a measured same-function FPGA routing baseline.</x:v>
      </x:c>
      <x:c r="L48" s="17" t="str">
        <x:v>Broad networking perspective and heterogeneous cited systems prevent raw latency or performance comparison.</x:v>
      </x:c>
      <x:c r="M48" s="17" t="str">
        <x:v>Class D QKD networking background and taxonomy.</x:v>
      </x:c>
      <x:c r="N48" s="22" t="str">
        <x:v>No single routing-decision latency</x:v>
      </x:c>
      <x:c r="O48" s="22" t="str">
        <x:v>Verified from ACM publisher record</x:v>
      </x:c>
      <x:c r="P48" s="22" t="str">
        <x:v>Identity, authorship and survey scope verified</x:v>
      </x:c>
      <x:c r="Q48" s="22" t="str">
        <x:v>Verified with full authorship</x:v>
      </x:c>
      <x:c r="R48" s="17" t="str">
        <x:v>10.1145/3402192</x:v>
      </x:c>
      <x:c r="S48" s="17" t="str">
        <x:v>https://dl.acm.org/doi/10.1145/3402192</x:v>
      </x:c>
      <x:c r="T48" s="17" t="str">
        <x:v>2026-07-17</x:v>
      </x:c>
      <x:c r="U48" s="17" t="str">
        <x:v>Workbook's abbreviated authorship expanded.</x:v>
      </x:c>
    </x:row>
    <x:row r="49">
      <x:c r="A49" s="18" t="str">
        <x:v>P046</x:v>
      </x:c>
      <x:c r="B49" s="18" t="str">
        <x:v>Multi-Objective Optimization</x:v>
      </x:c>
      <x:c r="C49" s="17" t="str">
        <x:v>A Fast and Elitist Multiobjective Genetic Algorithm: NSGA-II</x:v>
      </x:c>
      <x:c r="D49" s="17" t="str">
        <x:v>Kalyanmoy Deb; Amrit Pratap; Sameer Agarwal; T. Meyarivan</x:v>
      </x:c>
      <x:c r="E49" s="17" t="str">
        <x:v>2002</x:v>
      </x:c>
      <x:c r="F49" s="17" t="str">
        <x:v>IEEE Transactions on Evolutionary Computation 6(2), 182-197</x:v>
      </x:c>
      <x:c r="G49" s="21" t="str">
        <x:v>D</x:v>
      </x:c>
      <x:c r="H49" s="17" t="str">
        <x:v>Software algorithm/reference method</x:v>
      </x:c>
      <x:c r="I49" s="17" t="str">
        <x:v>Algorithm paper</x:v>
      </x:c>
      <x:c r="J49" s="17" t="str">
        <x:v>NSGA-II introduces fast nondominated sorting, elitism and crowding-based diversity preservation.</x:v>
      </x:c>
      <x:c r="K49" s="17" t="str">
        <x:v>Its reported algorithmic complexity is O(MN^2), improving on earlier O(MN^3) nondominated sorting.</x:v>
      </x:c>
      <x:c r="L49" s="17" t="str">
        <x:v>Canonical software algorithm, not an FPGA QKD-routing implementation or measured hardware baseline.</x:v>
      </x:c>
      <x:c r="M49" s="17" t="str">
        <x:v>Class D algorithm foundation for QFlow's multi-objective design.</x:v>
      </x:c>
      <x:c r="N49" s="22" t="str">
        <x:v>No hardware routing-decision latency</x:v>
      </x:c>
      <x:c r="O49" s="22" t="str">
        <x:v>Verified from IEEE publisher record</x:v>
      </x:c>
      <x:c r="P49" s="22" t="str">
        <x:v>Complexity and algorithm identity verified</x:v>
      </x:c>
      <x:c r="Q49" s="22" t="str">
        <x:v>Verified</x:v>
      </x:c>
      <x:c r="R49" s="17" t="str">
        <x:v>10.1109/4235.996017</x:v>
      </x:c>
      <x:c r="S49" s="17" t="str">
        <x:v>https://ieeexplore.ieee.org/document/996017</x:v>
      </x:c>
      <x:c r="T49" s="17" t="str">
        <x:v>2026-07-17</x:v>
      </x:c>
      <x:c r="U49" s="17" t="str"/>
    </x:row>
    <x:row r="50">
      <x:c r="A50" s="18" t="str">
        <x:v>P047</x:v>
      </x:c>
      <x:c r="B50" s="18" t="str">
        <x:v>Multi-Objective Optimization</x:v>
      </x:c>
      <x:c r="C50" s="17" t="str">
        <x:v>MOEA/D: A Multiobjective Evolutionary Algorithm Based on Decomposition</x:v>
      </x:c>
      <x:c r="D50" s="17" t="str">
        <x:v>Qingfu Zhang; Hui Li</x:v>
      </x:c>
      <x:c r="E50" s="17" t="str">
        <x:v>2007</x:v>
      </x:c>
      <x:c r="F50" s="17" t="str">
        <x:v>IEEE Transactions on Evolutionary Computation 11(6), 712-731</x:v>
      </x:c>
      <x:c r="G50" s="21" t="str">
        <x:v>D</x:v>
      </x:c>
      <x:c r="H50" s="17" t="str">
        <x:v>Software algorithm/reference method</x:v>
      </x:c>
      <x:c r="I50" s="17" t="str">
        <x:v>Algorithm paper</x:v>
      </x:c>
      <x:c r="J50" s="17" t="str">
        <x:v>MOEA/D decomposes a multi-objective problem into scalar subproblems optimized collaboratively.</x:v>
      </x:c>
      <x:c r="K50" s="17" t="str">
        <x:v>The paper reports comparative algorithm performance; no FPGA QKD-routing metric is supplied.</x:v>
      </x:c>
      <x:c r="L50" s="17" t="str">
        <x:v>Canonical software algorithm with different operators and execution boundaries from QFlow.</x:v>
      </x:c>
      <x:c r="M50" s="17" t="str">
        <x:v>Class D multi-objective algorithm context.</x:v>
      </x:c>
      <x:c r="N50" s="22" t="str">
        <x:v>No hardware routing-decision latency</x:v>
      </x:c>
      <x:c r="O50" s="22" t="str">
        <x:v>Verified from IEEE publisher record</x:v>
      </x:c>
      <x:c r="P50" s="22" t="str">
        <x:v>Method identity and decomposition scope verified</x:v>
      </x:c>
      <x:c r="Q50" s="22" t="str">
        <x:v>Verified</x:v>
      </x:c>
      <x:c r="R50" s="17" t="str">
        <x:v>10.1109/TEVC.2007.892759</x:v>
      </x:c>
      <x:c r="S50" s="17" t="str">
        <x:v>https://ieeexplore.ieee.org/document/4358754</x:v>
      </x:c>
      <x:c r="T50" s="17" t="str">
        <x:v>2026-07-17</x:v>
      </x:c>
      <x:c r="U50" s="17" t="str"/>
    </x:row>
    <x:row r="51">
      <x:c r="A51" s="18" t="str">
        <x:v>P048</x:v>
      </x:c>
      <x:c r="B51" s="18" t="str">
        <x:v>Multi-Objective Optimization</x:v>
      </x:c>
      <x:c r="C51" s="17" t="str">
        <x:v>Objectives and methods in multi-objective routing problems: a survey and classification scheme</x:v>
      </x:c>
      <x:c r="D51" s="17" t="str">
        <x:v>Sandra Zajac; Sandra Huber</x:v>
      </x:c>
      <x:c r="E51" s="17" t="str">
        <x:v>2021</x:v>
      </x:c>
      <x:c r="F51" s="17" t="str">
        <x:v>European Journal of Operational Research 290(1), 1-25</x:v>
      </x:c>
      <x:c r="G51" s="21" t="str">
        <x:v>D</x:v>
      </x:c>
      <x:c r="H51" s="17" t="str">
        <x:v>Survey of application-oriented multi-objective routing</x:v>
      </x:c>
      <x:c r="I51" s="17" t="str">
        <x:v>Survey article</x:v>
      </x:c>
      <x:c r="J51" s="17" t="str">
        <x:v>The survey classifies objectives, problem elements, fitness assignment and search strategies across application-oriented multi-objective routing.</x:v>
      </x:c>
      <x:c r="K51" s="17" t="str">
        <x:v>It surveys more than 100 contributions and identifies objective categories and research gaps; it does not benchmark QKD hardware.</x:v>
      </x:c>
      <x:c r="L51" s="17" t="str">
        <x:v>The workbook's generic 2022 Computer Networks citation was not verified and is replaced explicitly, not treated as the same work.</x:v>
      </x:c>
      <x:c r="M51" s="17" t="str">
        <x:v>Class D multi-objective routing taxonomy and method context.</x:v>
      </x:c>
      <x:c r="N51" s="22" t="str">
        <x:v>No hardware routing-decision latency</x:v>
      </x:c>
      <x:c r="O51" s="22" t="str">
        <x:v>Workbook citation not verified; closest authoritative survey substituted</x:v>
      </x:c>
      <x:c r="P51" s="22" t="str">
        <x:v>Survey scope and classification verified</x:v>
      </x:c>
      <x:c r="Q51" s="22" t="str">
        <x:v>Repaired with replacement source</x:v>
      </x:c>
      <x:c r="R51" s="17" t="str">
        <x:v>10.1016/j.ejor.2020.07.005</x:v>
      </x:c>
      <x:c r="S51" s="17" t="str">
        <x:v>https://www.sciencedirect.com/science/article/pii/S0377221720306160</x:v>
      </x:c>
      <x:c r="T51" s="17" t="str">
        <x:v>2026-07-17</x:v>
      </x:c>
      <x:c r="U51" s="17" t="str">
        <x:v>Original title/venue/authorship was not identifiable; authoritative topical survey substituted.</x:v>
      </x:c>
    </x:row>
    <x:row r="52">
      <x:c r="A52" s="18" t="str">
        <x:v>P049</x:v>
      </x:c>
      <x:c r="B52" s="18" t="str">
        <x:v>Complexity Theory &amp; Routing</x:v>
      </x:c>
      <x:c r="C52" s="17" t="str">
        <x:v>Computers and Intractability: A Guide to the Theory of NP-Completeness</x:v>
      </x:c>
      <x:c r="D52" s="17" t="str">
        <x:v>Michael R. Garey; David S. Johnson</x:v>
      </x:c>
      <x:c r="E52" s="17" t="str">
        <x:v>1979</x:v>
      </x:c>
      <x:c r="F52" s="17" t="str">
        <x:v>W. H. Freeman</x:v>
      </x:c>
      <x:c r="G52" s="21" t="str">
        <x:v>D</x:v>
      </x:c>
      <x:c r="H52" s="17" t="str">
        <x:v>Complexity-theory monograph</x:v>
      </x:c>
      <x:c r="I52" s="17" t="str">
        <x:v>Foundational book</x:v>
      </x:c>
      <x:c r="J52" s="17" t="str">
        <x:v>The monograph establishes standard NP-completeness concepts and reductions for combinatorial optimization.</x:v>
      </x:c>
      <x:c r="K52" s="17" t="str">
        <x:v>No QKD, FPGA or measured routing performance is reported.</x:v>
      </x:c>
      <x:c r="L52" s="17" t="str">
        <x:v>Foundational complexity reference only; it cannot prove the exact hardness of a QFlow formulation without a formulation-specific reduction.</x:v>
      </x:c>
      <x:c r="M52" s="17" t="str">
        <x:v>Class D theoretical background.</x:v>
      </x:c>
      <x:c r="N52" s="22" t="str">
        <x:v>Not applicable</x:v>
      </x:c>
      <x:c r="O52" s="22" t="str">
        <x:v>Verified standard monograph identity</x:v>
      </x:c>
      <x:c r="P52" s="22" t="str">
        <x:v>No QFlow-specific metric</x:v>
      </x:c>
      <x:c r="Q52" s="22" t="str">
        <x:v>Verified</x:v>
      </x:c>
      <x:c r="R52" s="17" t="str">
        <x:v>ISBN 978-0-7167-1045-5</x:v>
      </x:c>
      <x:c r="S52" s="17" t="str">
        <x:v>https://books.google.com/books?vid=ISBN0716710455</x:v>
      </x:c>
      <x:c r="T52" s="17" t="str">
        <x:v>2026-07-17</x:v>
      </x:c>
      <x:c r="U52" s="17" t="str"/>
    </x:row>
    <x:row r="53">
      <x:c r="A53" s="18" t="str">
        <x:v>P050</x:v>
      </x:c>
      <x:c r="B53" s="18" t="str">
        <x:v>Complexity Theory &amp; Routing</x:v>
      </x:c>
      <x:c r="C53" s="17" t="str">
        <x:v>Approximation Schemes for the Restricted Shortest Path Problem</x:v>
      </x:c>
      <x:c r="D53" s="17" t="str">
        <x:v>Refael Hassin</x:v>
      </x:c>
      <x:c r="E53" s="17" t="str">
        <x:v>1992</x:v>
      </x:c>
      <x:c r="F53" s="17" t="str">
        <x:v>Mathematics of Operations Research 17(1), 36-42</x:v>
      </x:c>
      <x:c r="G53" s="21" t="str">
        <x:v>D</x:v>
      </x:c>
      <x:c r="H53" s="17" t="str">
        <x:v>Restricted-shortest-path approximation algorithms</x:v>
      </x:c>
      <x:c r="I53" s="17" t="str">
        <x:v>Theory paper</x:v>
      </x:c>
      <x:c r="J53" s="17" t="str">
        <x:v>The note presents two fully polynomial approximation schemes for shortest path with an additional constraint.</x:v>
      </x:c>
      <x:c r="K53" s="17" t="str">
        <x:v>Theoretical approximation guarantees are provided; there is no FPGA or QKD experiment.</x:v>
      </x:c>
      <x:c r="L53" s="17" t="str">
        <x:v>The workbook title and issue were incorrect, and the paper is not itself a hardware or routing-latency baseline.</x:v>
      </x:c>
      <x:c r="M53" s="17" t="str">
        <x:v>Class D constrained-routing theory context.</x:v>
      </x:c>
      <x:c r="N53" s="22" t="str">
        <x:v>Not applicable</x:v>
      </x:c>
      <x:c r="O53" s="22" t="str">
        <x:v>Verified from INFORMS publisher record</x:v>
      </x:c>
      <x:c r="P53" s="22" t="str">
        <x:v>Title, DOI and FPTAS scope verified</x:v>
      </x:c>
      <x:c r="Q53" s="22" t="str">
        <x:v>Verified with bibliographic correction</x:v>
      </x:c>
      <x:c r="R53" s="17" t="str">
        <x:v>10.1287/moor.17.1.36</x:v>
      </x:c>
      <x:c r="S53" s="17" t="str">
        <x:v>https://pubsonline.informs.org/doi/10.1287/moor.17.1.36</x:v>
      </x:c>
      <x:c r="T53" s="17" t="str">
        <x:v>2026-07-17</x:v>
      </x:c>
      <x:c r="U53" s="17" t="str">
        <x:v>Correct title and issue supplied.</x:v>
      </x:c>
    </x:row>
  </x:sheetData>
  <x:mergeCells>
    <x:mergeCell ref="A1:U1"/>
    <x:mergeCell ref="A2:U2"/>
  </x:mergeCells>
  <x:pageMargins left="0.7" right="0.7" top="0.75" bottom="0.75" header="0.3" footer="0.3"/>
  <x:tableParts count="1">
    <x:tablePart xmlns:r="http://schemas.openxmlformats.org/officeDocument/2006/relationships" r:id="R6689c9292aee46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42" hidden="0" customWidth="1"/>
    <x:col min="4" max="4" width="42" hidden="0" customWidth="1"/>
    <x:col min="5" max="5" width="40" hidden="0" customWidth="1"/>
    <x:col min="6" max="6" width="20" hidden="0" customWidth="1"/>
    <x:col min="7" max="7" width="22" hidden="0" customWidth="1"/>
  </x:cols>
  <x:sheetData>
    <x:row r="1" ht="30" customHeight="1">
      <x:c r="A1" s="38" t="str">
        <x:v>QFlow — Evidence-Bounded Gap Analysis and Positioning</x:v>
      </x:c>
      <x:c r="B1" s="38" t="str">
        <x:v>QFlow — Evidence-Bounded Gap Analysis and Positioning</x:v>
      </x:c>
      <x:c r="C1" s="38" t="str">
        <x:v>QFlow — Evidence-Bounded Gap Analysis and Positioning</x:v>
      </x:c>
      <x:c r="D1" s="38" t="str">
        <x:v>QFlow — Evidence-Bounded Gap Analysis and Positioning</x:v>
      </x:c>
      <x:c r="E1" s="38" t="str">
        <x:v>QFlow — Evidence-Bounded Gap Analysis and Positioning</x:v>
      </x:c>
      <x:c r="F1" s="38" t="str">
        <x:v>QFlow — Evidence-Bounded Gap Analysis and Positioning</x:v>
      </x:c>
      <x:c r="G1" s="38" t="str">
        <x:v>QFlow — Evidence-Bounded Gap Analysis and Positioning</x:v>
      </x:c>
    </x:row>
    <x:row r="2" ht="28" customHeight="1">
      <x:c r="A2" s="9" t="str">
        <x:v>This sheet replaces universal novelty and heterogeneous speedup claims with conclusions permitted by comparison Classes A–D.</x:v>
      </x:c>
      <x:c r="B2" s="9" t="str">
        <x:v>This sheet replaces universal novelty and heterogeneous speedup claims with conclusions permitted by comparison Classes A–D.</x:v>
      </x:c>
      <x:c r="C2" s="9" t="str">
        <x:v>This sheet replaces universal novelty and heterogeneous speedup claims with conclusions permitted by comparison Classes A–D.</x:v>
      </x:c>
      <x:c r="D2" s="9" t="str">
        <x:v>This sheet replaces universal novelty and heterogeneous speedup claims with conclusions permitted by comparison Classes A–D.</x:v>
      </x:c>
      <x:c r="E2" s="9" t="str">
        <x:v>This sheet replaces universal novelty and heterogeneous speedup claims with conclusions permitted by comparison Classes A–D.</x:v>
      </x:c>
      <x:c r="F2" s="9" t="str">
        <x:v>This sheet replaces universal novelty and heterogeneous speedup claims with conclusions permitted by comparison Classes A–D.</x:v>
      </x:c>
      <x:c r="G2" s="9" t="str">
        <x:v>This sheet replaces universal novelty and heterogeneous speedup claims with conclusions permitted by comparison Classes A–D.</x:v>
      </x:c>
    </x:row>
    <x:row r="3" ht="32" customHeight="1">
      <x:c r="A3" s="14" t="str">
        <x:v>Evidence Boundary</x:v>
      </x:c>
      <x:c r="B3" s="14" t="str">
        <x:v>Audited Records</x:v>
      </x:c>
      <x:c r="C3" s="14" t="str">
        <x:v>What the Evidence Supports</x:v>
      </x:c>
      <x:c r="D3" s="14" t="str">
        <x:v>What It Does Not Support</x:v>
      </x:c>
      <x:c r="E3" s="14" t="str">
        <x:v>Required QFlow Comparison</x:v>
      </x:c>
      <x:c r="F3" s="14" t="str">
        <x:v>Class</x:v>
      </x:c>
      <x:c r="G3" s="14" t="str">
        <x:v>Disposition</x:v>
      </x:c>
    </x:row>
    <x:row r="4">
      <x:c r="A4" s="17" t="str">
        <x:v>Published QKD routing algorithms</x:v>
      </x:c>
      <x:c r="B4" s="17" t="str">
        <x:v>P001–P012</x:v>
      </x:c>
      <x:c r="C4" s="17" t="str">
        <x:v>Algorithmic methods and network-level utility reported in simulation or numerical studies.</x:v>
      </x:c>
      <x:c r="D4" s="17" t="str">
        <x:v>No inferred FPGA-equivalent latency; no hardware/software superiority claim.</x:v>
      </x:c>
      <x:c r="E4" s="17" t="str">
        <x:v>Matched topology, trace, seed and utility-metric comparison.</x:v>
      </x:c>
      <x:c r="F4" s="24" t="str">
        <x:v>C</x:v>
      </x:c>
      <x:c r="G4" s="22" t="str">
        <x:v>Context baseline</x:v>
      </x:c>
    </x:row>
    <x:row r="5">
      <x:c r="A5" s="17" t="str">
        <x:v>Physical and SDN-QKD networks</x:v>
      </x:c>
      <x:c r="B5" s="17" t="str">
        <x:v>P013–P016</x:v>
      </x:c>
      <x:c r="C5" s="17" t="str">
        <x:v>Deployment feasibility and operational architecture context.</x:v>
      </x:c>
      <x:c r="D5" s="17" t="str">
        <x:v>Physical-layer or controller measurements are not QFlow kernel decision latency.</x:v>
      </x:c>
      <x:c r="E5" s="17" t="str">
        <x:v>Compare operational requirements and evidence layer only.</x:v>
      </x:c>
      <x:c r="F5" s="24" t="str">
        <x:v>C/D</x:v>
      </x:c>
      <x:c r="G5" s="22" t="str">
        <x:v>System context</x:v>
      </x:c>
    </x:row>
    <x:row r="6">
      <x:c r="A6" s="17" t="str">
        <x:v>FPGA quantum components</x:v>
      </x:c>
      <x:c r="B6" s="17" t="str">
        <x:v>P017–P022</x:v>
      </x:c>
      <x:c r="C6" s="17" t="str">
        <x:v>FPGA feasibility for reconciliation, QEC, post-processing and synchronization components.</x:v>
      </x:c>
      <x:c r="D6" s="17" t="str">
        <x:v>Component throughput, power or latency is not a routing-decision measurement.</x:v>
      </x:c>
      <x:c r="E6" s="17" t="str">
        <x:v>Use for architecture/resource context only.</x:v>
      </x:c>
      <x:c r="F6" s="24" t="str">
        <x:v>D</x:v>
      </x:c>
      <x:c r="G6" s="22" t="str">
        <x:v>Component context</x:v>
      </x:c>
    </x:row>
    <x:row r="7">
      <x:c r="A7" s="17" t="str">
        <x:v>Hardware genetic algorithms</x:v>
      </x:c>
      <x:c r="B7" s="17" t="str">
        <x:v>P023–P028</x:v>
      </x:c>
      <x:c r="C7" s="17" t="str">
        <x:v>Implementation patterns for GA operators and FPGA accelerators.</x:v>
      </x:c>
      <x:c r="D7" s="17" t="str">
        <x:v>Different objective/function measurements cannot establish QFlow algorithm superiority.</x:v>
      </x:c>
      <x:c r="E7" s="17" t="str">
        <x:v>Only an identical QFlow function/vector test can support platform acceleration.</x:v>
      </x:c>
      <x:c r="F7" s="24" t="str">
        <x:v>D → B only with matched function</x:v>
      </x:c>
      <x:c r="G7" s="22" t="str">
        <x:v>Architecture context</x:v>
      </x:c>
    </x:row>
    <x:row r="8">
      <x:c r="A8" s="17" t="str">
        <x:v>Fidelity-aware and learned routing</x:v>
      </x:c>
      <x:c r="B8" s="17" t="str">
        <x:v>P029–P034</x:v>
      </x:c>
      <x:c r="C8" s="17" t="str">
        <x:v>Fidelity-aware objectives, learned policies and reported network utility.</x:v>
      </x:c>
      <x:c r="D8" s="17" t="str">
        <x:v>Reported delivery time, solver time or simulation behavior is not same-function hardware latency.</x:v>
      </x:c>
      <x:c r="E8" s="17" t="str">
        <x:v>Matched network utility under frozen inputs; no raw speedup ratio.</x:v>
      </x:c>
      <x:c r="F8" s="24" t="str">
        <x:v>C</x:v>
      </x:c>
      <x:c r="G8" s="22" t="str">
        <x:v>Algorithmic context</x:v>
      </x:c>
    </x:row>
    <x:row r="9">
      <x:c r="A9" s="17" t="str">
        <x:v>TSN, P4, simulators, QKD surveys and theory</x:v>
      </x:c>
      <x:c r="B9" s="17" t="str">
        <x:v>P035–P050</x:v>
      </x:c>
      <x:c r="C9" s="17" t="str">
        <x:v>Supporting scheduling, packet-processing, simulation and theoretical methodology.</x:v>
      </x:c>
      <x:c r="D9" s="17" t="str">
        <x:v>Cross-domain component results cannot prove a QKD-routing performance lead.</x:v>
      </x:c>
      <x:c r="E9" s="17" t="str">
        <x:v>Use only for method or architecture justification.</x:v>
      </x:c>
      <x:c r="F9" s="24" t="str">
        <x:v>D</x:v>
      </x:c>
      <x:c r="G9" s="22" t="str">
        <x:v>Supporting context</x:v>
      </x:c>
    </x:row>
    <x:row r="10">
      <x:c r="A10" s="17" t="str">
        <x:v>Search-bounded QFlow gap</x:v>
      </x:c>
      <x:c r="B10" s="17" t="str">
        <x:v>50-row controlled audit</x:v>
      </x:c>
      <x:c r="C10" s="17" t="str">
        <x:v>No Class A or Class B same-function FPGA QKD-routing baseline was identified in this documented audit.</x:v>
      </x:c>
      <x:c r="D10" s="17" t="str">
        <x:v>This is not universal priority proof and does not justify “first,” “all,” or “1000×” wording.</x:v>
      </x:c>
      <x:c r="E10" s="17" t="str">
        <x:v>Run frozen same-board H0–H4; use identical vectors for any CPU/FPGA Class B claim.</x:v>
      </x:c>
      <x:c r="F10" s="24" t="str">
        <x:v>A/B internal protocol</x:v>
      </x:c>
      <x:c r="G10" s="22" t="str">
        <x:v>Permitted gap statement</x:v>
      </x:c>
    </x:row>
    <x:row r="11">
      <x:c r="A11" s="39"/>
      <x:c r="B11" s="39"/>
      <x:c r="C11" s="39"/>
      <x:c r="D11" s="39"/>
      <x:c r="E11" s="39"/>
      <x:c r="F11" s="39"/>
      <x:c r="G11" s="39"/>
    </x:row>
    <x:row r="12">
      <x:c r="A12" s="39"/>
      <x:c r="B12" s="39"/>
      <x:c r="C12" s="39"/>
      <x:c r="D12" s="39"/>
      <x:c r="E12" s="39"/>
      <x:c r="F12" s="39"/>
      <x:c r="G12" s="39"/>
    </x:row>
    <x:row r="13" ht="24" customHeight="1">
      <x:c r="A13" s="40" t="str">
        <x:v>Mandatory Claim Guards</x:v>
      </x:c>
      <x:c r="B13" s="40" t="str">
        <x:v>Mandatory Claim Guards</x:v>
      </x:c>
      <x:c r="C13" s="40" t="str">
        <x:v>Mandatory Claim Guards</x:v>
      </x:c>
      <x:c r="D13" s="40" t="str">
        <x:v>Mandatory Claim Guards</x:v>
      </x:c>
      <x:c r="E13" s="40" t="str">
        <x:v>Mandatory Claim Guards</x:v>
      </x:c>
      <x:c r="F13" s="40" t="str">
        <x:v>Mandatory Claim Guards</x:v>
      </x:c>
      <x:c r="G13" s="40" t="str">
        <x:v>Mandatory Claim Guards</x:v>
      </x:c>
    </x:row>
    <x:row r="14" ht="32" customHeight="1">
      <x:c r="A14" s="14" t="str">
        <x:v>Guard</x:v>
      </x:c>
      <x:c r="B14" s="14" t="str">
        <x:v>Status</x:v>
      </x:c>
      <x:c r="C14" s="14" t="str">
        <x:v>Defense-Safe Rule</x:v>
      </x:c>
      <x:c r="D14" s="39"/>
      <x:c r="E14" s="39"/>
      <x:c r="F14" s="39"/>
      <x:c r="G14" s="39"/>
    </x:row>
    <x:row r="15">
      <x:c r="A15" s="17" t="str">
        <x:v>Absolute novelty</x:v>
      </x:c>
      <x:c r="B15" s="30" t="str">
        <x:v>PROHIBITED</x:v>
      </x:c>
      <x:c r="C15" s="17" t="str">
        <x:v>Use the search-bounded 50-row audit statement; do not write “first” or “unprecedented.”</x:v>
      </x:c>
      <x:c r="D15" s="39"/>
      <x:c r="E15" s="39"/>
      <x:c r="F15" s="39"/>
      <x:c r="G15" s="39"/>
    </x:row>
    <x:row r="16">
      <x:c r="A16" s="17" t="str">
        <x:v>Inferred latency</x:v>
      </x:c>
      <x:c r="B16" s="30" t="str">
        <x:v>PROHIBITED</x:v>
      </x:c>
      <x:c r="C16" s="17" t="str">
        <x:v>Write “not reported” unless the primary source measured the relevant decision runtime.</x:v>
      </x:c>
      <x:c r="D16" s="39"/>
      <x:c r="E16" s="39"/>
      <x:c r="F16" s="39"/>
      <x:c r="G16" s="39"/>
    </x:row>
    <x:row r="17">
      <x:c r="A17" s="17" t="str">
        <x:v>Cross-paper speedup</x:v>
      </x:c>
      <x:c r="B17" s="30" t="str">
        <x:v>PROHIBITED</x:v>
      </x:c>
      <x:c r="C17" s="17" t="str">
        <x:v>Do not divide heterogeneous software and hardware results or present the ratio as algorithm superiority.</x:v>
      </x:c>
      <x:c r="D17" s="39"/>
      <x:c r="E17" s="39"/>
      <x:c r="F17" s="39"/>
      <x:c r="G17" s="39"/>
    </x:row>
    <x:row r="18">
      <x:c r="A18" s="17" t="str">
        <x:v>Component substitution</x:v>
      </x:c>
      <x:c r="B18" s="30" t="str">
        <x:v>PROHIBITED</x:v>
      </x:c>
      <x:c r="C18" s="17" t="str">
        <x:v>Do not treat reconciliation, QEC, synchronization or packet-pipeline metrics as routing-decision metrics.</x:v>
      </x:c>
      <x:c r="D18" s="39"/>
      <x:c r="E18" s="39"/>
      <x:c r="F18" s="39"/>
      <x:c r="G18" s="39"/>
    </x:row>
    <x:row r="19">
      <x:c r="A19" s="17" t="str">
        <x:v>Direct hardware claim</x:v>
      </x:c>
      <x:c r="B19" s="30" t="str">
        <x:v>CLASS A ONLY</x:v>
      </x:c>
      <x:c r="C19" s="17" t="str">
        <x:v>Use same-board H0–H4 with the common shell and independent implementation reports.</x:v>
      </x:c>
      <x:c r="D19" s="39"/>
      <x:c r="E19" s="39"/>
      <x:c r="F19" s="39"/>
      <x:c r="G19" s="39"/>
    </x:row>
    <x:row r="20">
      <x:c r="A20" s="17" t="str">
        <x:v>Platform acceleration</x:v>
      </x:c>
      <x:c r="B20" s="30" t="str">
        <x:v>CLASS B ONLY</x:v>
      </x:c>
      <x:c r="C20" s="17" t="str">
        <x:v>Use identical fixed-point vectors and the identical QFlow function on CPU and FPGA.</x:v>
      </x:c>
      <x:c r="D20" s="39"/>
      <x:c r="E20" s="39"/>
      <x:c r="F20" s="39"/>
      <x:c r="G20" s="39"/>
    </x:row>
  </x:sheetData>
  <x:mergeCells>
    <x:mergeCell ref="A1:G1"/>
    <x:mergeCell ref="A2:G2"/>
    <x:mergeCell ref="A13:G13"/>
  </x:mergeCells>
  <x:pageMargins left="0.7" right="0.7" top="0.75" bottom="0.75" header="0.3" footer="0.3"/>
  <x:tableParts count="2">
    <x:tablePart xmlns:r="http://schemas.openxmlformats.org/officeDocument/2006/relationships" r:id="Rd5f9b52ba51d4ca5"/>
    <x:tablePart xmlns:r="http://schemas.openxmlformats.org/officeDocument/2006/relationships" r:id="R89727a2130b54b0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78" hidden="0" customWidth="1"/>
  </x:cols>
  <x:sheetData>
    <x:row r="1" ht="30" customHeight="1">
      <x:c r="A1" s="38" t="str">
        <x:v>Literature Review Statistics — Controlled P1 Audit</x:v>
      </x:c>
      <x:c r="B1" s="38" t="str">
        <x:v>Literature Review Statistics — Controlled P1 Audit</x:v>
      </x:c>
      <x:c r="C1" s="38" t="str">
        <x:v>Literature Review Statistics — Controlled P1 Audit</x:v>
      </x:c>
    </x:row>
    <x:row r="2" ht="28" customHeight="1">
      <x:c r="A2" s="9" t="str">
        <x:v>All counts below derive from the corrected matrix or controlled audit-support sheets; no novelty score is used.</x:v>
      </x:c>
      <x:c r="B2" s="9" t="str">
        <x:v>All counts below derive from the corrected matrix or controlled audit-support sheets; no novelty score is used.</x:v>
      </x:c>
      <x:c r="C2" s="9" t="str">
        <x:v>All counts below derive from the corrected matrix or controlled audit-support sheets; no novelty score is used.</x:v>
      </x:c>
    </x:row>
    <x:row r="3" ht="32" customHeight="1">
      <x:c r="A3" s="14" t="str">
        <x:v>Metric</x:v>
      </x:c>
      <x:c r="B3" s="14" t="str">
        <x:v>Value</x:v>
      </x:c>
      <x:c r="C3" s="14" t="str">
        <x:v>Interpretation</x:v>
      </x:c>
    </x:row>
    <x:row r="4">
      <x:c r="A4" s="17" t="str">
        <x:v>Total audited papers</x:v>
      </x:c>
      <x:c r="B4" s="33" t="n">
        <x:f>COUNTA('Literature Review Matrix'!$A$4:$A$53)</x:f>
        <x:v>50</x:v>
      </x:c>
      <x:c r="C4" s="17" t="str">
        <x:v>Controlled row count</x:v>
      </x:c>
    </x:row>
    <x:row r="5">
      <x:c r="A5" s="17" t="str">
        <x:v>Verification complete</x:v>
      </x:c>
      <x:c r="B5" s="33" t="n">
        <x:f>COUNTIF('Literature Review Matrix'!$Q$4:$Q$53,"&lt;&gt;Pending")</x:f>
        <x:v>50</x:v>
      </x:c>
      <x:c r="C5" s="17" t="str">
        <x:v>All rows are classified and dispositioned</x:v>
      </x:c>
    </x:row>
    <x:row r="6">
      <x:c r="A6" s="19" t="str">
        <x:v>Class A published baselines</x:v>
      </x:c>
      <x:c r="B6" s="34" t="n">
        <x:f>COUNTIF('Literature Review Matrix'!$G$4:$G$53,"A")</x:f>
        <x:v>0</x:v>
      </x:c>
      <x:c r="C6" s="19" t="str">
        <x:v>Same-board, same-function published counterparts identified</x:v>
      </x:c>
    </x:row>
    <x:row r="7">
      <x:c r="A7" s="19" t="str">
        <x:v>Class B published baselines</x:v>
      </x:c>
      <x:c r="B7" s="34" t="n">
        <x:f>COUNTIF('Literature Review Matrix'!$G$4:$G$53,"B")</x:f>
        <x:v>0</x:v>
      </x:c>
      <x:c r="C7" s="19" t="str">
        <x:v>Same-algorithm CPU/FPGA counterparts identified</x:v>
      </x:c>
    </x:row>
    <x:row r="8">
      <x:c r="A8" s="17" t="str">
        <x:v>Class C records</x:v>
      </x:c>
      <x:c r="B8" s="33" t="n">
        <x:f>COUNTIF('Literature Review Matrix'!$G$4:$G$53,"C")</x:f>
        <x:v>21</x:v>
      </x:c>
      <x:c r="C8" s="17" t="str">
        <x:v>Algorithmic/network-utility context</x:v>
      </x:c>
    </x:row>
    <x:row r="9">
      <x:c r="A9" s="17" t="str">
        <x:v>Class D records</x:v>
      </x:c>
      <x:c r="B9" s="33" t="n">
        <x:f>COUNTIF('Literature Review Matrix'!$G$4:$G$53,"D")</x:f>
        <x:v>29</x:v>
      </x:c>
      <x:c r="C9" s="17" t="str">
        <x:v>Component/architecture/theory context</x:v>
      </x:c>
    </x:row>
    <x:row r="10">
      <x:c r="A10" s="17" t="str">
        <x:v>Excluded identity records</x:v>
      </x:c>
      <x:c r="B10" s="33" t="n">
        <x:f>COUNTIF('Literature Review Matrix'!$Q$4:$Q$53,"Excluded - identity not verified")</x:f>
        <x:v>2</x:v>
      </x:c>
      <x:c r="C10" s="17" t="str">
        <x:v>Unverified composite citations retained transparently</x:v>
      </x:c>
    </x:row>
    <x:row r="11">
      <x:c r="A11" s="17" t="str">
        <x:v>Claim repairs</x:v>
      </x:c>
      <x:c r="B11" s="33" t="n">
        <x:f>COUNTIF('Claim Register'!$G$4:$G$11,"REPAIR")</x:f>
        <x:v>6</x:v>
      </x:c>
      <x:c r="C11" s="17" t="str">
        <x:v>Unsafe claims requiring bounded replacement</x:v>
      </x:c>
    </x:row>
    <x:row r="12">
      <x:c r="A12" s="17" t="str">
        <x:v>Claim removals</x:v>
      </x:c>
      <x:c r="B12" s="33" t="n">
        <x:f>COUNTIF('Claim Register'!$G$4:$G$11,"REMOVE")</x:f>
        <x:v>2</x:v>
      </x:c>
      <x:c r="C12" s="17" t="str">
        <x:v>Claims removed because evidence did not support them</x:v>
      </x:c>
    </x:row>
    <x:row r="13">
      <x:c r="A13" s="17" t="str">
        <x:v>Search-log records</x:v>
      </x:c>
      <x:c r="B13" s="33" t="n">
        <x:f>COUNTA('Search Log'!$A$4:$A$53)</x:f>
        <x:v>50</x:v>
      </x:c>
      <x:c r="C13" s="17" t="str">
        <x:v>Reproducible source-verification trail</x:v>
      </x:c>
    </x:row>
    <x:row r="14">
      <x:c r="A14" s="18" t="str">
        <x:v>Source workbook integrity</x:v>
      </x:c>
      <x:c r="B14" s="35" t="str">
        <x:v>PASS</x:v>
      </x:c>
      <x:c r="C14" s="18" t="str">
        <x:v>Immutable source SHA-256 45f7f4f544897998f5f869a4d2904fd3755eae9a440903fa016a6969c6b97df1</x:v>
      </x:c>
    </x:row>
    <x:row r="15">
      <x:c r="A15" s="18" t="str">
        <x:v>Paper-audit integrity</x:v>
      </x:c>
      <x:c r="B15" s="35" t="str">
        <x:v>PASS</x:v>
      </x:c>
      <x:c r="C15" s="18" t="str">
        <x:v>Final audit SHA-256 c35b626f628fd0e72aaf7b9763733184473686ebe78977b468ea0c8edd68ae61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3888fd5983bd4bb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9" hidden="0" customWidth="1"/>
    <x:col min="3" max="3" width="35" hidden="0" customWidth="1"/>
    <x:col min="4" max="4" width="52" hidden="0" customWidth="1"/>
    <x:col min="5" max="5" width="28" hidden="0" customWidth="1"/>
  </x:cols>
  <x:sheetData>
    <x:row r="1" ht="30" customHeight="1">
      <x:c r="A1" s="38" t="str">
        <x:v>Comparison Classes and Frozen Same-Board Baselines</x:v>
      </x:c>
      <x:c r="B1" s="38" t="str">
        <x:v>Comparison Classes and Frozen Same-Board Baselines</x:v>
      </x:c>
      <x:c r="C1" s="38" t="str">
        <x:v>Comparison Classes and Frozen Same-Board Baselines</x:v>
      </x:c>
      <x:c r="D1" s="38" t="str">
        <x:v>Comparison Classes and Frozen Same-Board Baselines</x:v>
      </x:c>
      <x:c r="E1" s="38" t="str">
        <x:v>Comparison Classes and Frozen Same-Board Baselines</x:v>
      </x:c>
    </x:row>
    <x:row r="2" ht="28" customHeight="1">
      <x:c r="A2" s="9" t="str">
        <x:v>Class definitions and H0–H4 identities follow the defense execution plan and benchmark contract.</x:v>
      </x:c>
      <x:c r="B2" s="9" t="str">
        <x:v>Class definitions and H0–H4 identities follow the defense execution plan and benchmark contract.</x:v>
      </x:c>
      <x:c r="C2" s="9" t="str">
        <x:v>Class definitions and H0–H4 identities follow the defense execution plan and benchmark contract.</x:v>
      </x:c>
      <x:c r="D2" s="9" t="str">
        <x:v>Class definitions and H0–H4 identities follow the defense execution plan and benchmark contract.</x:v>
      </x:c>
      <x:c r="E2" s="9" t="str">
        <x:v>Class definitions and H0–H4 identities follow the defense execution plan and benchmark contract.</x:v>
      </x:c>
    </x:row>
    <x:row r="3" ht="32" customHeight="1">
      <x:c r="A3" s="14" t="str">
        <x:v>Class</x:v>
      </x:c>
      <x:c r="B3" s="14" t="str">
        <x:v>Question</x:v>
      </x:c>
      <x:c r="C3" s="14" t="str">
        <x:v>Required Match</x:v>
      </x:c>
      <x:c r="D3" s="14" t="str">
        <x:v>Allowed Conclusion</x:v>
      </x:c>
      <x:c r="E3" s="14" t="str">
        <x:v>Current P1 Literature Status</x:v>
      </x:c>
    </x:row>
    <x:row r="4">
      <x:c r="A4" s="23" t="str">
        <x:v>A — Same-board hardware</x:v>
      </x:c>
      <x:c r="B4" s="17" t="str">
        <x:v>Which controller gives the best quality/cost trade-off?</x:v>
      </x:c>
      <x:c r="C4" s="17" t="str">
        <x:v>H0–H4 on Nexys 3 with common shell, inputs and counters</x:v>
      </x:c>
      <x:c r="D4" s="17" t="str">
        <x:v>Direct hardware comparison</x:v>
      </x:c>
      <x:c r="E4" s="17" t="str">
        <x:v>No published counterpart in 50-row audit; internal H0–H4 required</x:v>
      </x:c>
    </x:row>
    <x:row r="5">
      <x:c r="A5" s="23" t="str">
        <x:v>B — Same algorithm, CPU vs FPGA</x:v>
      </x:c>
      <x:c r="B5" s="17" t="str">
        <x:v>What acceleration comes from platform?</x:v>
      </x:c>
      <x:c r="C5" s="17" t="str">
        <x:v>Identical fixed-point vectors and identical QFlow function</x:v>
      </x:c>
      <x:c r="D5" s="17" t="str">
        <x:v>Platform acceleration only</x:v>
      </x:c>
      <x:c r="E5" s="17" t="str">
        <x:v>No published same-function counterpart in 50-row audit</x:v>
      </x:c>
    </x:row>
    <x:row r="6">
      <x:c r="A6" s="23" t="str">
        <x:v>C — Algorithmic/network utility</x:v>
      </x:c>
      <x:c r="B6" s="17" t="str">
        <x:v>How does method behavior compare?</x:v>
      </x:c>
      <x:c r="C6" s="17" t="str">
        <x:v>Matched topology, request traces, paths, seeds and metrics</x:v>
      </x:c>
      <x:c r="D6" s="17" t="str">
        <x:v>Network-utility comparison only</x:v>
      </x:c>
      <x:c r="E6" s="17" t="str">
        <x:v>21 audited records</x:v>
      </x:c>
    </x:row>
    <x:row r="7">
      <x:c r="A7" s="23" t="str">
        <x:v>D — Component/architecture context</x:v>
      </x:c>
      <x:c r="B7" s="17" t="str">
        <x:v>What prior design evidence supports feasibility?</x:v>
      </x:c>
      <x:c r="C7" s="17" t="str">
        <x:v>Explicitly separate function and evidence layer</x:v>
      </x:c>
      <x:c r="D7" s="17" t="str">
        <x:v>Context or feasibility only</x:v>
      </x:c>
      <x:c r="E7" s="17" t="str">
        <x:v>29 audited records</x:v>
      </x:c>
    </x:row>
    <x:row r="8">
      <x:c r="A8" s="39"/>
      <x:c r="B8" s="39"/>
      <x:c r="C8" s="39"/>
      <x:c r="D8" s="39"/>
      <x:c r="E8" s="39"/>
    </x:row>
    <x:row r="9">
      <x:c r="A9" s="39"/>
      <x:c r="B9" s="39"/>
      <x:c r="C9" s="39"/>
      <x:c r="D9" s="39"/>
      <x:c r="E9" s="39"/>
    </x:row>
    <x:row r="10">
      <x:c r="A10" s="40" t="str">
        <x:v>Frozen Same-Board Controllers</x:v>
      </x:c>
      <x:c r="B10" s="40" t="str">
        <x:v>Frozen Same-Board Controllers</x:v>
      </x:c>
      <x:c r="C10" s="40" t="str">
        <x:v>Frozen Same-Board Controllers</x:v>
      </x:c>
      <x:c r="D10" s="40" t="str">
        <x:v>Frozen Same-Board Controllers</x:v>
      </x:c>
      <x:c r="E10" s="40" t="str">
        <x:v>Frozen Same-Board Controllers</x:v>
      </x:c>
    </x:row>
    <x:row r="11" ht="32" customHeight="1">
      <x:c r="A11" s="14" t="str">
        <x:v>ID</x:v>
      </x:c>
      <x:c r="B11" s="14" t="str">
        <x:v>Controller</x:v>
      </x:c>
      <x:c r="C11" s="14" t="str">
        <x:v>Purpose</x:v>
      </x:c>
      <x:c r="D11" s="14" t="str">
        <x:v>Shared Contract</x:v>
      </x:c>
      <x:c r="E11" s="14" t="str">
        <x:v>Comparison Class</x:v>
      </x:c>
    </x:row>
    <x:row r="12">
      <x:c r="A12" s="37" t="str">
        <x:v>H0</x:v>
      </x:c>
      <x:c r="B12" s="17" t="str">
        <x:v>Feasible shortest-distance</x:v>
      </x:c>
      <x:c r="C12" s="17" t="str">
        <x:v>Minimal routing hardware baseline</x:v>
      </x:c>
      <x:c r="D12" s="17" t="str">
        <x:v>Common Nexys 3 shell, input replay, graph state, candidate set and counters</x:v>
      </x:c>
      <x:c r="E12" s="17" t="str">
        <x:v>A</x:v>
      </x:c>
    </x:row>
    <x:row r="13">
      <x:c r="A13" s="37" t="str">
        <x:v>H1</x:v>
      </x:c>
      <x:c r="B13" s="17" t="str">
        <x:v>Fixed key-aware</x:v>
      </x:c>
      <x:c r="C13" s="17" t="str">
        <x:v>Tests value of key awareness</x:v>
      </x:c>
      <x:c r="D13" s="17" t="str">
        <x:v>Same</x:v>
      </x:c>
      <x:c r="E13" s="17" t="str">
        <x:v>A</x:v>
      </x:c>
    </x:row>
    <x:row r="14">
      <x:c r="A14" s="37" t="str">
        <x:v>H2</x:v>
      </x:c>
      <x:c r="B14" s="17" t="str">
        <x:v>Existing fixed QFlow</x:v>
      </x:c>
      <x:c r="C14" s="17" t="str">
        <x:v>Current alpha/lambda anchor</x:v>
      </x:c>
      <x:c r="D14" s="17" t="str">
        <x:v>Same</x:v>
      </x:c>
      <x:c r="E14" s="17" t="str">
        <x:v>A</x:v>
      </x:c>
    </x:row>
    <x:row r="15">
      <x:c r="A15" s="37" t="str">
        <x:v>H3</x:v>
      </x:c>
      <x:c r="B15" s="17" t="str">
        <x:v>Threshold/rule adaptive</x:v>
      </x:c>
      <x:c r="C15" s="17" t="str">
        <x:v>Tests whether learning is necessary</x:v>
      </x:c>
      <x:c r="D15" s="17" t="str">
        <x:v>Same</x:v>
      </x:c>
      <x:c r="E15" s="17" t="str">
        <x:v>A</x:v>
      </x:c>
    </x:row>
    <x:row r="16">
      <x:c r="A16" s="37" t="str">
        <x:v>H4</x:v>
      </x:c>
      <x:c r="B16" s="17" t="str">
        <x:v>Tabular QFlow-RL</x:v>
      </x:c>
      <x:c r="C16" s="17" t="str">
        <x:v>Main learned adaptive contribution</x:v>
      </x:c>
      <x:c r="D16" s="17" t="str">
        <x:v>Same</x:v>
      </x:c>
      <x:c r="E16" s="17" t="str">
        <x:v>A</x:v>
      </x:c>
    </x:row>
  </x:sheetData>
  <x:mergeCells>
    <x:mergeCell ref="A1:E1"/>
    <x:mergeCell ref="A2:E2"/>
    <x:mergeCell ref="A10:E10"/>
  </x:mergeCells>
  <x:pageMargins left="0.7" right="0.7" top="0.75" bottom="0.75" header="0.3" footer="0.3"/>
  <x:tableParts count="2">
    <x:tablePart xmlns:r="http://schemas.openxmlformats.org/officeDocument/2006/relationships" r:id="R6ad22d889d404c3c"/>
    <x:tablePart xmlns:r="http://schemas.openxmlformats.org/officeDocument/2006/relationships" r:id="R3eccc103a873434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7" hidden="0" customWidth="1"/>
    <x:col min="3" max="3" width="43" hidden="0" customWidth="1"/>
    <x:col min="4" max="4" width="13" hidden="0" customWidth="1"/>
    <x:col min="5" max="5" width="38" hidden="0" customWidth="1"/>
    <x:col min="6" max="6" width="35" hidden="0" customWidth="1"/>
    <x:col min="7" max="7" width="14" hidden="0" customWidth="1"/>
    <x:col min="8" max="8" width="56" hidden="0" customWidth="1"/>
  </x:cols>
  <x:sheetData>
    <x:row r="1" ht="30" customHeight="1">
      <x:c r="A1" s="38" t="str">
        <x:v>Unsafe-Claim Register</x:v>
      </x:c>
      <x:c r="B1" s="38" t="str">
        <x:v>Unsafe-Claim Register</x:v>
      </x:c>
      <x:c r="C1" s="38" t="str">
        <x:v>Unsafe-Claim Register</x:v>
      </x:c>
      <x:c r="D1" s="38" t="str">
        <x:v>Unsafe-Claim Register</x:v>
      </x:c>
      <x:c r="E1" s="38" t="str">
        <x:v>Unsafe-Claim Register</x:v>
      </x:c>
      <x:c r="F1" s="38" t="str">
        <x:v>Unsafe-Claim Register</x:v>
      </x:c>
      <x:c r="G1" s="38" t="str">
        <x:v>Unsafe-Claim Register</x:v>
      </x:c>
      <x:c r="H1" s="38" t="str">
        <x:v>Unsafe-Claim Register</x:v>
      </x:c>
    </x:row>
    <x:row r="2" ht="28" customHeight="1">
      <x:c r="A2" s="9" t="str">
        <x:v>Every repaired or removed claim remains traceable to its original location and defense-safe replacement.</x:v>
      </x:c>
      <x:c r="B2" s="9" t="str">
        <x:v>Every repaired or removed claim remains traceable to its original location and defense-safe replacement.</x:v>
      </x:c>
      <x:c r="C2" s="9" t="str">
        <x:v>Every repaired or removed claim remains traceable to its original location and defense-safe replacement.</x:v>
      </x:c>
      <x:c r="D2" s="9" t="str">
        <x:v>Every repaired or removed claim remains traceable to its original location and defense-safe replacement.</x:v>
      </x:c>
      <x:c r="E2" s="9" t="str">
        <x:v>Every repaired or removed claim remains traceable to its original location and defense-safe replacement.</x:v>
      </x:c>
      <x:c r="F2" s="9" t="str">
        <x:v>Every repaired or removed claim remains traceable to its original location and defense-safe replacement.</x:v>
      </x:c>
      <x:c r="G2" s="9" t="str">
        <x:v>Every repaired or removed claim remains traceable to its original location and defense-safe replacement.</x:v>
      </x:c>
      <x:c r="H2" s="9" t="str">
        <x:v>Every repaired or removed claim remains traceable to its original location and defense-safe replacement.</x:v>
      </x:c>
    </x:row>
    <x:row r="3" ht="32" customHeight="1">
      <x:c r="A3" s="14" t="str">
        <x:v>claim_id</x:v>
      </x:c>
      <x:c r="B3" s="14" t="str">
        <x:v>current_location</x:v>
      </x:c>
      <x:c r="C3" s="14" t="str">
        <x:v>original_claim</x:v>
      </x:c>
      <x:c r="D3" s="14" t="str">
        <x:v>comparison_class</x:v>
      </x:c>
      <x:c r="E3" s="14" t="str">
        <x:v>risk</x:v>
      </x:c>
      <x:c r="F3" s="14" t="str">
        <x:v>required_action</x:v>
      </x:c>
      <x:c r="G3" s="14" t="str">
        <x:v>status</x:v>
      </x:c>
      <x:c r="H3" s="14" t="str">
        <x:v>replacement_or_note</x:v>
      </x:c>
    </x:row>
    <x:row r="4">
      <x:c r="A4" s="17" t="str">
        <x:v>C001</x:v>
      </x:c>
      <x:c r="B4" s="17" t="str">
        <x:v>Workbook main sheet / gap sheet</x:v>
      </x:c>
      <x:c r="C4" s="17" t="str">
        <x:v>QFlow is the first hardware dataplane solution</x:v>
      </x:c>
      <x:c r="D4" s="17" t="str">
        <x:v>D</x:v>
      </x:c>
      <x:c r="E4" s="17" t="str">
        <x:v>Universal novelty claim without systematic-review proof</x:v>
      </x:c>
      <x:c r="F4" s="17" t="str">
        <x:v>Hold until full audit; replace with search-bounded wording</x:v>
      </x:c>
      <x:c r="G4" s="30" t="str">
        <x:v>REPAIR</x:v>
      </x:c>
      <x:c r="H4" s="17" t="str">
        <x:v>In the documented 50-row audit completed 2026-07-17, no same-function FPGA QKD-routing dataplane was identified. This is a search-bounded result, not universal priority proof.</x:v>
      </x:c>
    </x:row>
    <x:row r="5">
      <x:c r="A5" s="17" t="str">
        <x:v>C002</x:v>
      </x:c>
      <x:c r="B5" s="17" t="str">
        <x:v>Workbook main row 2 / gap sheet</x:v>
      </x:c>
      <x:c r="C5" s="17" t="str">
        <x:v>All 26 reviewed routing strategies are software</x:v>
      </x:c>
      <x:c r="D5" s="17" t="str">
        <x:v>C</x:v>
      </x:c>
      <x:c r="E5" s="17" t="str">
        <x:v>The cited survey and its 26-study count are not yet verified</x:v>
      </x:c>
      <x:c r="F5" s="17" t="str">
        <x:v>Verify survey identity, scope, and each source-supported statement</x:v>
      </x:c>
      <x:c r="G5" s="30" t="str">
        <x:v>REPAIR</x:v>
      </x:c>
      <x:c r="H5" s="17" t="str">
        <x:v>The survey identity, 26-strategy scope, 25-40% rejection statement and 30-60% multipath key-consumption statement are verified. The claims that all 26 are software and operate at millisecond latency are not verified and must be removed.</x:v>
      </x:c>
    </x:row>
    <x:row r="6">
      <x:c r="A6" s="17" t="str">
        <x:v>C003</x:v>
      </x:c>
      <x:c r="B6" s="17" t="str">
        <x:v>Statistics Dashboard</x:v>
      </x:c>
      <x:c r="C6" s="17" t="str">
        <x:v>Zero hardware QKD-routing papers</x:v>
      </x:c>
      <x:c r="D6" s="17" t="str">
        <x:v>D</x:v>
      </x:c>
      <x:c r="E6" s="17" t="str">
        <x:v>Absolute absence claim</x:v>
      </x:c>
      <x:c r="F6" s="17" t="str">
        <x:v>Replace with search-bounded result and documented search date</x:v>
      </x:c>
      <x:c r="G6" s="30" t="str">
        <x:v>REPAIR</x:v>
      </x:c>
      <x:c r="H6" s="17" t="str">
        <x:v>The documented 50-row audit identified FPGA QKD post-processing, synchronization and QEC components, but no Class A/B same-function FPGA QKD-routing baseline. State the search date, corpus and scope.</x:v>
      </x:c>
    </x:row>
    <x:row r="7">
      <x:c r="A7" s="17" t="str">
        <x:v>C004</x:v>
      </x:c>
      <x:c r="B7" s="17" t="str">
        <x:v>Gap sheet / latency figure assets</x:v>
      </x:c>
      <x:c r="C7" s="17" t="str">
        <x:v>Nanoseconds versus milliseconds; 1000x faster</x:v>
      </x:c>
      <x:c r="D7" s="17" t="str">
        <x:v>B</x:v>
      </x:c>
      <x:c r="E7" s="17" t="str">
        <x:v>Different algorithms, platforms, and latency scopes</x:v>
      </x:c>
      <x:c r="F7" s="17" t="str">
        <x:v>Remove as algorithm superiority; allow only identical-vector same-algorithm B comparison</x:v>
      </x:c>
      <x:c r="G7" s="30" t="str">
        <x:v>REMOVE</x:v>
      </x:c>
      <x:c r="H7" s="17" t="str">
        <x:v>No raw nanosecond-versus-millisecond or 1000x claim is allowed. A speedup claim requires an identical algorithm, arithmetic, vectors and declared platform boundary (Class B).</x:v>
      </x:c>
    </x:row>
    <x:row r="8">
      <x:c r="A8" s="17" t="str">
        <x:v>C005</x:v>
      </x:c>
      <x:c r="B8" s="17" t="str">
        <x:v>Gap sheet</x:v>
      </x:c>
      <x:c r="C8" s="17" t="str">
        <x:v>All FPGA work for QKD targets the physical layer</x:v>
      </x:c>
      <x:c r="D8" s="17" t="str">
        <x:v>D</x:v>
      </x:c>
      <x:c r="E8" s="17" t="str">
        <x:v>Universal category claim</x:v>
      </x:c>
      <x:c r="F8" s="17" t="str">
        <x:v>Verify and narrow to reviewed/identified works</x:v>
      </x:c>
      <x:c r="G8" s="30" t="str">
        <x:v>REPAIR</x:v>
      </x:c>
      <x:c r="H8" s="17" t="str">
        <x:v>The audited FPGA-QKD works cover reconciliation, key distillation, synchronization and QEC. Describe these as identified component/post-processing examples, not all FPGA-QKD work.</x:v>
      </x:c>
    </x:row>
    <x:row r="9">
      <x:c r="A9" s="17" t="str">
        <x:v>C006</x:v>
      </x:c>
      <x:c r="B9" s="17" t="str">
        <x:v>Statistics Dashboard</x:v>
      </x:c>
      <x:c r="C9" s="17" t="str">
        <x:v>All four components confirmed absent; novelty score 4/4</x:v>
      </x:c>
      <x:c r="D9" s="17" t="str">
        <x:v>D</x:v>
      </x:c>
      <x:c r="E9" s="17" t="str">
        <x:v>Unsupported scoring and absence proof</x:v>
      </x:c>
      <x:c r="F9" s="17" t="str">
        <x:v>Remove score; report evidence-backed distinctions instead</x:v>
      </x:c>
      <x:c r="G9" s="30" t="str">
        <x:v>REMOVE</x:v>
      </x:c>
      <x:c r="H9" s="17" t="str">
        <x:v>Remove the novelty score. Report evidence-backed distinctions and the search-bounded absence of a Class A/B baseline instead.</x:v>
      </x:c>
    </x:row>
    <x:row r="10">
      <x:c r="A10" s="17" t="str">
        <x:v>C007</x:v>
      </x:c>
      <x:c r="B10" s="17" t="str">
        <x:v>Multiple literature rows</x:v>
      </x:c>
      <x:c r="C10" s="17" t="str">
        <x:v>Millisecond inference latency</x:v>
      </x:c>
      <x:c r="D10" s="17" t="str">
        <x:v>C</x:v>
      </x:c>
      <x:c r="E10" s="17" t="str">
        <x:v>Latency may not be reported by the cited source</x:v>
      </x:c>
      <x:c r="F10" s="17" t="str">
        <x:v>Mark latency Not reported unless explicitly measured and sourced</x:v>
      </x:c>
      <x:c r="G10" s="30" t="str">
        <x:v>REPAIR</x:v>
      </x:c>
      <x:c r="H10" s="17" t="str">
        <x:v>Across all 50 audited rows, cited software routing papers did not supply a source-mapped millisecond inference value suitable for comparison. Mark decision latency Not reported unless explicitly measured.</x:v>
      </x:c>
    </x:row>
    <x:row r="11">
      <x:c r="A11" s="17" t="str">
        <x:v>C008</x:v>
      </x:c>
      <x:c r="B11" s="17" t="str">
        <x:v>Figure 2 assets and captions</x:v>
      </x:c>
      <x:c r="C11" s="17" t="str">
        <x:v>Hardware/software latency comparison proves QFlow superiority</x:v>
      </x:c>
      <x:c r="D11" s="17" t="str">
        <x:v>B</x:v>
      </x:c>
      <x:c r="E11" s="17" t="str">
        <x:v>Non-equivalent workloads and measurement boundaries</x:v>
      </x:c>
      <x:c r="F11" s="17" t="str">
        <x:v>Relabel as implementation context or rebuild using identical algorithm/vectors</x:v>
      </x:c>
      <x:c r="G11" s="30" t="str">
        <x:v>REPAIR</x:v>
      </x:c>
      <x:c r="H11" s="17" t="str">
        <x:v>Any hardware/software latency figure must separate kernel cycles, accelerator boundary, host preparation, transport/UART and network utility. Existing heterogeneous papers are context, not proof of QFlow superiority.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1544a13d7194f6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25" hidden="0" customWidth="1"/>
    <x:col min="4" max="4" width="55" hidden="0" customWidth="1"/>
    <x:col min="5" max="5" width="38" hidden="0" customWidth="1"/>
    <x:col min="6" max="6" width="13" hidden="0" customWidth="1"/>
    <x:col min="7" max="7" width="13" hidden="0" customWidth="1"/>
    <x:col min="8" max="8" width="21" hidden="0" customWidth="1"/>
    <x:col min="9" max="9" width="13" hidden="0" customWidth="1"/>
    <x:col min="10" max="10" width="21" hidden="0" customWidth="1"/>
    <x:col min="11" max="11" width="40" hidden="0" customWidth="1"/>
  </x:cols>
  <x:sheetData>
    <x:row r="1" ht="30" customHeight="1">
      <x:c r="A1" s="38" t="str">
        <x:v>Literature Search and Verification Log</x:v>
      </x:c>
      <x:c r="B1" s="38" t="str">
        <x:v>Literature Search and Verification Log</x:v>
      </x:c>
      <x:c r="C1" s="38" t="str">
        <x:v>Literature Search and Verification Log</x:v>
      </x:c>
      <x:c r="D1" s="38" t="str">
        <x:v>Literature Search and Verification Log</x:v>
      </x:c>
      <x:c r="E1" s="38" t="str">
        <x:v>Literature Search and Verification Log</x:v>
      </x:c>
      <x:c r="F1" s="38" t="str">
        <x:v>Literature Search and Verification Log</x:v>
      </x:c>
      <x:c r="G1" s="38" t="str">
        <x:v>Literature Search and Verification Log</x:v>
      </x:c>
      <x:c r="H1" s="38" t="str">
        <x:v>Literature Search and Verification Log</x:v>
      </x:c>
      <x:c r="I1" s="38" t="str">
        <x:v>Literature Search and Verification Log</x:v>
      </x:c>
      <x:c r="J1" s="38" t="str">
        <x:v>Literature Search and Verification Log</x:v>
      </x:c>
      <x:c r="K1" s="38" t="str">
        <x:v>Literature Search and Verification Log</x:v>
      </x:c>
    </x:row>
    <x:row r="2" ht="28" customHeight="1">
      <x:c r="A2" s="9" t="str">
        <x:v>Exact query strings, publishers/databases, screening scope and dispositions for all 50 audited records.</x:v>
      </x:c>
      <x:c r="B2" s="9" t="str">
        <x:v>Exact query strings, publishers/databases, screening scope and dispositions for all 50 audited records.</x:v>
      </x:c>
      <x:c r="C2" s="9" t="str">
        <x:v>Exact query strings, publishers/databases, screening scope and dispositions for all 50 audited records.</x:v>
      </x:c>
      <x:c r="D2" s="9" t="str">
        <x:v>Exact query strings, publishers/databases, screening scope and dispositions for all 50 audited records.</x:v>
      </x:c>
      <x:c r="E2" s="9" t="str">
        <x:v>Exact query strings, publishers/databases, screening scope and dispositions for all 50 audited records.</x:v>
      </x:c>
      <x:c r="F2" s="9" t="str">
        <x:v>Exact query strings, publishers/databases, screening scope and dispositions for all 50 audited records.</x:v>
      </x:c>
      <x:c r="G2" s="9" t="str">
        <x:v>Exact query strings, publishers/databases, screening scope and dispositions for all 50 audited records.</x:v>
      </x:c>
      <x:c r="H2" s="9" t="str">
        <x:v>Exact query strings, publishers/databases, screening scope and dispositions for all 50 audited records.</x:v>
      </x:c>
      <x:c r="I2" s="9" t="str">
        <x:v>Exact query strings, publishers/databases, screening scope and dispositions for all 50 audited records.</x:v>
      </x:c>
      <x:c r="J2" s="9" t="str">
        <x:v>Exact query strings, publishers/databases, screening scope and dispositions for all 50 audited records.</x:v>
      </x:c>
      <x:c r="K2" s="9" t="str">
        <x:v>Exact query strings, publishers/databases, screening scope and dispositions for all 50 audited records.</x:v>
      </x:c>
    </x:row>
    <x:row r="3" ht="32" customHeight="1">
      <x:c r="A3" s="14" t="str">
        <x:v>search_id</x:v>
      </x:c>
      <x:c r="B3" s="14" t="str">
        <x:v>search_date</x:v>
      </x:c>
      <x:c r="C3" s="14" t="str">
        <x:v>database_or_publisher</x:v>
      </x:c>
      <x:c r="D3" s="14" t="str">
        <x:v>exact_query</x:v>
      </x:c>
      <x:c r="E3" s="14" t="str">
        <x:v>filters</x:v>
      </x:c>
      <x:c r="F3" s="14" t="str">
        <x:v>results_returned</x:v>
      </x:c>
      <x:c r="G3" s="14" t="str">
        <x:v>records_screened</x:v>
      </x:c>
      <x:c r="H3" s="14" t="str">
        <x:v>included_audit_ids</x:v>
      </x:c>
      <x:c r="I3" s="14" t="str">
        <x:v>excluded_count</x:v>
      </x:c>
      <x:c r="J3" s="14" t="str">
        <x:v>exclusion_codes</x:v>
      </x:c>
      <x:c r="K3" s="14" t="str">
        <x:v>notes</x:v>
      </x:c>
    </x:row>
    <x:row r="4">
      <x:c r="A4" s="17" t="str">
        <x:v>S001</x:v>
      </x:c>
      <x:c r="B4" s="17" t="str">
        <x:v>2026-07-17</x:v>
      </x:c>
      <x:c r="C4" s="17" t="str">
        <x:v>MDPI Photonics</x:v>
      </x:c>
      <x:c r="D4" s="17" t="str">
        <x:v>"Adaptive Routing for Meshed QKD Networks of Flexible Size Using Deep Reinforcement Learning"</x:v>
      </x:c>
      <x:c r="E4" s="17" t="str">
        <x:v>Primary/official source; title identity and claim-scope verification</x:v>
      </x:c>
      <x:c r="F4" s="17" t="str"/>
      <x:c r="G4" s="17" t="str">
        <x:v>1</x:v>
      </x:c>
      <x:c r="H4" s="17" t="str">
        <x:v>P001</x:v>
      </x:c>
      <x:c r="I4" s="17" t="str">
        <x:v>0</x:v>
      </x:c>
      <x:c r="J4" s="17" t="str"/>
      <x:c r="K4" s="17" t="str">
        <x:v>Batch 1 identity, platform, metrics-scope and latency-scope audit</x:v>
      </x:c>
    </x:row>
    <x:row r="5">
      <x:c r="A5" s="17" t="str">
        <x:v>S002</x:v>
      </x:c>
      <x:c r="B5" s="17" t="str">
        <x:v>2026-07-17</x:v>
      </x:c>
      <x:c r="C5" s="17" t="str">
        <x:v>arXiv</x:v>
      </x:c>
      <x:c r="D5" s="17" t="str">
        <x:v>"Overview of Routing Approaches in Quantum Key Distribution Networks"</x:v>
      </x:c>
      <x:c r="E5" s="17" t="str">
        <x:v>Primary/official source; title identity and claim-scope verification</x:v>
      </x:c>
      <x:c r="F5" s="17" t="str"/>
      <x:c r="G5" s="17" t="str">
        <x:v>1</x:v>
      </x:c>
      <x:c r="H5" s="17" t="str">
        <x:v>P002</x:v>
      </x:c>
      <x:c r="I5" s="17" t="str">
        <x:v>0</x:v>
      </x:c>
      <x:c r="J5" s="17" t="str"/>
      <x:c r="K5" s="17" t="str">
        <x:v>Batch 1 identity, platform, metrics-scope and latency-scope audit</x:v>
      </x:c>
    </x:row>
    <x:row r="6">
      <x:c r="A6" s="17" t="str">
        <x:v>S003</x:v>
      </x:c>
      <x:c r="B6" s="17" t="str">
        <x:v>2026-07-17</x:v>
      </x:c>
      <x:c r="C6" s="17" t="str">
        <x:v>Wiley/IET</x:v>
      </x:c>
      <x:c r="D6" s="17" t="str">
        <x:v>"Deep reinforcement learning-based routing and resource assignment in quantum key distribution-secured optical networks"</x:v>
      </x:c>
      <x:c r="E6" s="17" t="str">
        <x:v>Primary/official source; title identity and claim-scope verification</x:v>
      </x:c>
      <x:c r="F6" s="17" t="str"/>
      <x:c r="G6" s="17" t="str">
        <x:v>1</x:v>
      </x:c>
      <x:c r="H6" s="17" t="str">
        <x:v>P003</x:v>
      </x:c>
      <x:c r="I6" s="17" t="str">
        <x:v>0</x:v>
      </x:c>
      <x:c r="J6" s="17" t="str"/>
      <x:c r="K6" s="17" t="str">
        <x:v>Batch 1 identity, platform, metrics-scope and latency-scope audit</x:v>
      </x:c>
    </x:row>
    <x:row r="7">
      <x:c r="A7" s="17" t="str">
        <x:v>S004</x:v>
      </x:c>
      <x:c r="B7" s="17" t="str">
        <x:v>2026-07-17</x:v>
      </x:c>
      <x:c r="C7" s="17" t="str">
        <x:v>Springer</x:v>
      </x:c>
      <x:c r="D7" s="17" t="str">
        <x:v>"A quantum key distribution routing scheme for hybrid-trusted QKD network system"</x:v>
      </x:c>
      <x:c r="E7" s="17" t="str">
        <x:v>Primary/official source; title identity and claim-scope verification</x:v>
      </x:c>
      <x:c r="F7" s="17" t="str"/>
      <x:c r="G7" s="17" t="str">
        <x:v>1</x:v>
      </x:c>
      <x:c r="H7" s="17" t="str">
        <x:v>P004</x:v>
      </x:c>
      <x:c r="I7" s="17" t="str">
        <x:v>0</x:v>
      </x:c>
      <x:c r="J7" s="17" t="str"/>
      <x:c r="K7" s="17" t="str">
        <x:v>Batch 1 identity, platform, metrics-scope and latency-scope audit</x:v>
      </x:c>
    </x:row>
    <x:row r="8">
      <x:c r="A8" s="17" t="str">
        <x:v>S005</x:v>
      </x:c>
      <x:c r="B8" s="17" t="str">
        <x:v>2026-07-17</x:v>
      </x:c>
      <x:c r="C8" s="17" t="str">
        <x:v>MDPI Applied Sciences</x:v>
      </x:c>
      <x:c r="D8" s="17" t="str">
        <x:v>"A Dynamic-Routing Algorithm Based on a Virtual Quantum Key Distribution Network"</x:v>
      </x:c>
      <x:c r="E8" s="17" t="str">
        <x:v>Primary/official source; title identity and claim-scope verification</x:v>
      </x:c>
      <x:c r="F8" s="17" t="str"/>
      <x:c r="G8" s="17" t="str">
        <x:v>1</x:v>
      </x:c>
      <x:c r="H8" s="17" t="str">
        <x:v>P005</x:v>
      </x:c>
      <x:c r="I8" s="17" t="str">
        <x:v>0</x:v>
      </x:c>
      <x:c r="J8" s="17" t="str"/>
      <x:c r="K8" s="17" t="str">
        <x:v>Batch 1 identity, platform, metrics-scope and latency-scope audit</x:v>
      </x:c>
    </x:row>
    <x:row r="9">
      <x:c r="A9" s="17" t="str">
        <x:v>S006</x:v>
      </x:c>
      <x:c r="B9" s="17" t="str">
        <x:v>2026-07-17</x:v>
      </x:c>
      <x:c r="C9" s="17" t="str">
        <x:v>MDPI Entropy</x:v>
      </x:c>
      <x:c r="D9" s="17" t="str">
        <x:v>"Routing Algorithm Within the Multiple Non-Overlapping Paths' Approach for Quantum Key Distribution Networks"</x:v>
      </x:c>
      <x:c r="E9" s="17" t="str">
        <x:v>Primary/official source; title identity and claim-scope verification</x:v>
      </x:c>
      <x:c r="F9" s="17" t="str"/>
      <x:c r="G9" s="17" t="str">
        <x:v>1</x:v>
      </x:c>
      <x:c r="H9" s="17" t="str">
        <x:v>P006</x:v>
      </x:c>
      <x:c r="I9" s="17" t="str">
        <x:v>0</x:v>
      </x:c>
      <x:c r="J9" s="17" t="str"/>
      <x:c r="K9" s="17" t="str">
        <x:v>Batch 1 identity, platform, metrics-scope and latency-scope audit</x:v>
      </x:c>
    </x:row>
    <x:row r="10">
      <x:c r="A10" s="17" t="str">
        <x:v>S007</x:v>
      </x:c>
      <x:c r="B10" s="17" t="str">
        <x:v>2026-07-17</x:v>
      </x:c>
      <x:c r="C10" s="17" t="str">
        <x:v>MDPI Photonics</x:v>
      </x:c>
      <x:c r="D10" s="17" t="str">
        <x:v>"Q-Learning for Resource-Aware and Adaptive Routing in Trusted-Relay QKD Network"</x:v>
      </x:c>
      <x:c r="E10" s="17" t="str">
        <x:v>Primary/official source; title identity and claim-scope verification</x:v>
      </x:c>
      <x:c r="F10" s="17" t="str"/>
      <x:c r="G10" s="17" t="str">
        <x:v>1</x:v>
      </x:c>
      <x:c r="H10" s="17" t="str">
        <x:v>P007</x:v>
      </x:c>
      <x:c r="I10" s="17" t="str">
        <x:v>0</x:v>
      </x:c>
      <x:c r="J10" s="17" t="str"/>
      <x:c r="K10" s="17" t="str">
        <x:v>Batch 1 identity, platform, metrics-scope and latency-scope audit</x:v>
      </x:c>
    </x:row>
    <x:row r="11">
      <x:c r="A11" s="17" t="str">
        <x:v>S008</x:v>
      </x:c>
      <x:c r="B11" s="17" t="str">
        <x:v>2026-07-17</x:v>
      </x:c>
      <x:c r="C11" s="17" t="str">
        <x:v>IEEE Xplore</x:v>
      </x:c>
      <x:c r="D11" s="17" t="str">
        <x:v>"Fast and Secure Routing Algorithms for Quantum Key Distribution Networks"</x:v>
      </x:c>
      <x:c r="E11" s="17" t="str">
        <x:v>Primary/official source; title identity and claim-scope verification</x:v>
      </x:c>
      <x:c r="F11" s="17" t="str"/>
      <x:c r="G11" s="17" t="str">
        <x:v>1</x:v>
      </x:c>
      <x:c r="H11" s="17" t="str">
        <x:v>P008</x:v>
      </x:c>
      <x:c r="I11" s="17" t="str">
        <x:v>0</x:v>
      </x:c>
      <x:c r="J11" s="17" t="str"/>
      <x:c r="K11" s="17" t="str">
        <x:v>Batch 1 identity, platform, metrics-scope and latency-scope audit</x:v>
      </x:c>
    </x:row>
    <x:row r="12">
      <x:c r="A12" s="17" t="str">
        <x:v>S009</x:v>
      </x:c>
      <x:c r="B12" s="17" t="str">
        <x:v>2026-07-17</x:v>
      </x:c>
      <x:c r="C12" s="17" t="str">
        <x:v>MDPI Photonics</x:v>
      </x:c>
      <x:c r="D12" s="17" t="str">
        <x:v>"Dynamic Security-Aware Resource Allocation in Quantum Key Distribution-Enabled Optical Networks"</x:v>
      </x:c>
      <x:c r="E12" s="17" t="str">
        <x:v>Primary/official source; title identity and claim-scope verification</x:v>
      </x:c>
      <x:c r="F12" s="17" t="str"/>
      <x:c r="G12" s="17" t="str">
        <x:v>1</x:v>
      </x:c>
      <x:c r="H12" s="17" t="str">
        <x:v>P009</x:v>
      </x:c>
      <x:c r="I12" s="17" t="str">
        <x:v>0</x:v>
      </x:c>
      <x:c r="J12" s="17" t="str"/>
      <x:c r="K12" s="17" t="str">
        <x:v>Batch 1 identity, platform, metrics-scope and latency-scope audit</x:v>
      </x:c>
    </x:row>
    <x:row r="13">
      <x:c r="A13" s="17" t="str">
        <x:v>S010</x:v>
      </x:c>
      <x:c r="B13" s="17" t="str">
        <x:v>2026-07-17</x:v>
      </x:c>
      <x:c r="C13" s="17" t="str">
        <x:v>IEEE Xplore</x:v>
      </x:c>
      <x:c r="D13" s="17" t="str">
        <x:v>"Routing With Minimum Activated Trusted Nodes in Quantum Key Distribution Networks for Secure Communications"</x:v>
      </x:c>
      <x:c r="E13" s="17" t="str">
        <x:v>Primary/official source; title identity and claim-scope verification</x:v>
      </x:c>
      <x:c r="F13" s="17" t="str"/>
      <x:c r="G13" s="17" t="str">
        <x:v>1</x:v>
      </x:c>
      <x:c r="H13" s="17" t="str">
        <x:v>P010</x:v>
      </x:c>
      <x:c r="I13" s="17" t="str">
        <x:v>0</x:v>
      </x:c>
      <x:c r="J13" s="17" t="str"/>
      <x:c r="K13" s="17" t="str">
        <x:v>Batch 1 identity, platform, metrics-scope and latency-scope audit</x:v>
      </x:c>
    </x:row>
    <x:row r="14">
      <x:c r="A14" s="17" t="str">
        <x:v>S011</x:v>
      </x:c>
      <x:c r="B14" s="17" t="str">
        <x:v>2026-07-17</x:v>
      </x:c>
      <x:c r="C14" s="17" t="str">
        <x:v>Optica</x:v>
      </x:c>
      <x:c r="D14" s="17" t="str">
        <x:v>"DRL-based progressive recovery for quantum-key-distribution networks"</x:v>
      </x:c>
      <x:c r="E14" s="17" t="str">
        <x:v>Primary/official source; title identity and claim-scope verification</x:v>
      </x:c>
      <x:c r="F14" s="17" t="str"/>
      <x:c r="G14" s="17" t="str">
        <x:v>1</x:v>
      </x:c>
      <x:c r="H14" s="17" t="str">
        <x:v>P011</x:v>
      </x:c>
      <x:c r="I14" s="17" t="str">
        <x:v>0</x:v>
      </x:c>
      <x:c r="J14" s="17" t="str"/>
      <x:c r="K14" s="17" t="str">
        <x:v>Batch 1 identity, platform, metrics-scope and latency-scope audit</x:v>
      </x:c>
    </x:row>
    <x:row r="15">
      <x:c r="A15" s="17" t="str">
        <x:v>S012</x:v>
      </x:c>
      <x:c r="B15" s="17" t="str">
        <x:v>2026-07-17</x:v>
      </x:c>
      <x:c r="C15" s="17" t="str">
        <x:v>IEEE Xplore</x:v>
      </x:c>
      <x:c r="D15" s="17" t="str">
        <x:v>"Routing, Channel, Key-Rate, and Time-Slot Assignment for QKD in Optical Networks"</x:v>
      </x:c>
      <x:c r="E15" s="17" t="str">
        <x:v>Primary/official source; title identity and claim-scope verification</x:v>
      </x:c>
      <x:c r="F15" s="17" t="str"/>
      <x:c r="G15" s="17" t="str">
        <x:v>1</x:v>
      </x:c>
      <x:c r="H15" s="17" t="str">
        <x:v>P012</x:v>
      </x:c>
      <x:c r="I15" s="17" t="str">
        <x:v>0</x:v>
      </x:c>
      <x:c r="J15" s="17" t="str"/>
      <x:c r="K15" s="17" t="str">
        <x:v>Batch 1 identity, platform, metrics-scope and latency-scope audit</x:v>
      </x:c>
    </x:row>
    <x:row r="16">
      <x:c r="A16" s="17" t="str">
        <x:v>S013</x:v>
      </x:c>
      <x:c r="B16" s="17" t="str">
        <x:v>2026-07-17</x:v>
      </x:c>
      <x:c r="C16" s="17" t="str">
        <x:v>Nature</x:v>
      </x:c>
      <x:c r="D16" s="17" t="str">
        <x:v>"MadQCI: a heterogeneous and scalable SDN-QKD network deployed in production facilities"</x:v>
      </x:c>
      <x:c r="E16" s="17" t="str">
        <x:v>Primary/official source; title identity and claim-scope verification</x:v>
      </x:c>
      <x:c r="F16" s="17" t="str"/>
      <x:c r="G16" s="17" t="str">
        <x:v>1</x:v>
      </x:c>
      <x:c r="H16" s="17" t="str">
        <x:v>P013</x:v>
      </x:c>
      <x:c r="I16" s="17" t="str">
        <x:v>0</x:v>
      </x:c>
      <x:c r="J16" s="17" t="str"/>
      <x:c r="K16" s="17" t="str">
        <x:v>Batch 1 identity, platform, metrics-scope and latency-scope audit</x:v>
      </x:c>
    </x:row>
    <x:row r="17">
      <x:c r="A17" s="17" t="str">
        <x:v>S014</x:v>
      </x:c>
      <x:c r="B17" s="17" t="str">
        <x:v>2026-07-17</x:v>
      </x:c>
      <x:c r="C17" s="17" t="str">
        <x:v>IEEE Xplore</x:v>
      </x:c>
      <x:c r="D17" s="17" t="str">
        <x:v>"The Evolution of Quantum Key Distribution Networks: On the Road to the Qinternet"</x:v>
      </x:c>
      <x:c r="E17" s="17" t="str">
        <x:v>Primary/official source; title identity and claim-scope verification</x:v>
      </x:c>
      <x:c r="F17" s="17" t="str"/>
      <x:c r="G17" s="17" t="str">
        <x:v>1</x:v>
      </x:c>
      <x:c r="H17" s="17" t="str">
        <x:v>P014</x:v>
      </x:c>
      <x:c r="I17" s="17" t="str">
        <x:v>0</x:v>
      </x:c>
      <x:c r="J17" s="17" t="str"/>
      <x:c r="K17" s="17" t="str">
        <x:v>Batch 1 identity, platform, metrics-scope and latency-scope audit</x:v>
      </x:c>
    </x:row>
    <x:row r="18">
      <x:c r="A18" s="17" t="str">
        <x:v>S015</x:v>
      </x:c>
      <x:c r="B18" s="17" t="str">
        <x:v>2026-07-17</x:v>
      </x:c>
      <x:c r="C18" s="17" t="str">
        <x:v>Nature</x:v>
      </x:c>
      <x:c r="D18" s="17" t="str">
        <x:v>"Implementation of carrier-grade quantum communication networks over 10000 km"</x:v>
      </x:c>
      <x:c r="E18" s="17" t="str">
        <x:v>Primary/official source; title identity and claim-scope verification</x:v>
      </x:c>
      <x:c r="F18" s="17" t="str"/>
      <x:c r="G18" s="17" t="str">
        <x:v>1</x:v>
      </x:c>
      <x:c r="H18" s="17" t="str">
        <x:v>P015</x:v>
      </x:c>
      <x:c r="I18" s="17" t="str">
        <x:v>0</x:v>
      </x:c>
      <x:c r="J18" s="17" t="str"/>
      <x:c r="K18" s="17" t="str">
        <x:v>Batch 1 identity, platform, metrics-scope and latency-scope audit</x:v>
      </x:c>
    </x:row>
    <x:row r="19">
      <x:c r="A19" s="17" t="str">
        <x:v>S016</x:v>
      </x:c>
      <x:c r="B19" s="17" t="str">
        <x:v>2026-07-17</x:v>
      </x:c>
      <x:c r="C19" s="17" t="str">
        <x:v>MDPI BDCC</x:v>
      </x:c>
      <x:c r="D19" s="17" t="str">
        <x:v>"A Quantum Key Distribution Routing Scheme for a Zero-Trust QKD Network System: A Moving Target Defense Approach"</x:v>
      </x:c>
      <x:c r="E19" s="17" t="str">
        <x:v>Primary/official source; title identity and claim-scope verification</x:v>
      </x:c>
      <x:c r="F19" s="17" t="str"/>
      <x:c r="G19" s="17" t="str">
        <x:v>1</x:v>
      </x:c>
      <x:c r="H19" s="17" t="str">
        <x:v>P016</x:v>
      </x:c>
      <x:c r="I19" s="17" t="str">
        <x:v>0</x:v>
      </x:c>
      <x:c r="J19" s="17" t="str"/>
      <x:c r="K19" s="17" t="str">
        <x:v>Batch 1 identity, platform, metrics-scope and latency-scope audit</x:v>
      </x:c>
    </x:row>
    <x:row r="20">
      <x:c r="A20" s="17" t="str">
        <x:v>S017</x:v>
      </x:c>
      <x:c r="B20" s="17" t="str">
        <x:v>2026-07-17</x:v>
      </x:c>
      <x:c r="C20" s="17" t="str">
        <x:v>Nature / Scientific Reports</x:v>
      </x:c>
      <x:c r="D20" s="17" t="str">
        <x:v>"Efficient FPGA implementation of polar codes-based information reconciliation for quantum key distribution"</x:v>
      </x:c>
      <x:c r="E20" s="17" t="str">
        <x:v>Primary/official source; identity, platform, metrics-scope and latency-scope verification</x:v>
      </x:c>
      <x:c r="F20" s="17" t="str"/>
      <x:c r="G20" s="17" t="str">
        <x:v>1</x:v>
      </x:c>
      <x:c r="H20" s="17" t="str">
        <x:v>P017</x:v>
      </x:c>
      <x:c r="I20" s="17" t="str">
        <x:v>0</x:v>
      </x:c>
      <x:c r="J20" s="17" t="str"/>
      <x:c r="K20" s="17" t="str">
        <x:v>Batch 2 FPGA-component, hardware-GA and fidelity-routing audit</x:v>
      </x:c>
    </x:row>
    <x:row r="21">
      <x:c r="A21" s="17" t="str">
        <x:v>S018</x:v>
      </x:c>
      <x:c r="B21" s="17" t="str">
        <x:v>2026-07-17</x:v>
      </x:c>
      <x:c r="C21" s="17" t="str">
        <x:v>MDPI Entropy</x:v>
      </x:c>
      <x:c r="D21" s="17" t="str">
        <x:v>"FPGA-Based Implementation of Multidimensional Reconciliation Encoding in Quantum Key Distribution"</x:v>
      </x:c>
      <x:c r="E21" s="17" t="str">
        <x:v>Primary/official source; identity, platform, metrics-scope and latency-scope verification</x:v>
      </x:c>
      <x:c r="F21" s="17" t="str"/>
      <x:c r="G21" s="17" t="str">
        <x:v>1</x:v>
      </x:c>
      <x:c r="H21" s="17" t="str">
        <x:v>P018</x:v>
      </x:c>
      <x:c r="I21" s="17" t="str">
        <x:v>0</x:v>
      </x:c>
      <x:c r="J21" s="17" t="str"/>
      <x:c r="K21" s="17" t="str">
        <x:v>Batch 2 FPGA-component, hardware-GA and fidelity-routing audit</x:v>
      </x:c>
    </x:row>
    <x:row r="22">
      <x:c r="A22" s="17" t="str">
        <x:v>S019</x:v>
      </x:c>
      <x:c r="B22" s="17" t="str">
        <x:v>2026-07-17</x:v>
      </x:c>
      <x:c r="C22" s="17" t="str">
        <x:v>IEEE Xplore</x:v>
      </x:c>
      <x:c r="D22" s="17" t="str">
        <x:v>"Scalable QKD Postprocessing System With Reconfigurable Hardware Accelerator"</x:v>
      </x:c>
      <x:c r="E22" s="17" t="str">
        <x:v>Primary/official source; identity, platform, metrics-scope and latency-scope verification</x:v>
      </x:c>
      <x:c r="F22" s="17" t="str"/>
      <x:c r="G22" s="17" t="str">
        <x:v>1</x:v>
      </x:c>
      <x:c r="H22" s="17" t="str">
        <x:v>P019</x:v>
      </x:c>
      <x:c r="I22" s="17" t="str">
        <x:v>0</x:v>
      </x:c>
      <x:c r="J22" s="17" t="str"/>
      <x:c r="K22" s="17" t="str">
        <x:v>Batch 2 FPGA-component, hardware-GA and fidelity-routing audit</x:v>
      </x:c>
    </x:row>
    <x:row r="23">
      <x:c r="A23" s="17" t="str">
        <x:v>S020</x:v>
      </x:c>
      <x:c r="B23" s="17" t="str">
        <x:v>2026-07-17</x:v>
      </x:c>
      <x:c r="C23" s="17" t="str">
        <x:v>IEEE Xplore</x:v>
      </x:c>
      <x:c r="D23" s="17" t="str">
        <x:v>"The Hitchhiker's Guide to FPGA-Accelerated Quantum Error Correction"</x:v>
      </x:c>
      <x:c r="E23" s="17" t="str">
        <x:v>Primary/official source; identity, platform, metrics-scope and latency-scope verification</x:v>
      </x:c>
      <x:c r="F23" s="17" t="str"/>
      <x:c r="G23" s="17" t="str">
        <x:v>1</x:v>
      </x:c>
      <x:c r="H23" s="17" t="str">
        <x:v>P020</x:v>
      </x:c>
      <x:c r="I23" s="17" t="str">
        <x:v>0</x:v>
      </x:c>
      <x:c r="J23" s="17" t="str"/>
      <x:c r="K23" s="17" t="str">
        <x:v>Batch 2 FPGA-component, hardware-GA and fidelity-routing audit</x:v>
      </x:c>
    </x:row>
    <x:row r="24">
      <x:c r="A24" s="17" t="str">
        <x:v>S021</x:v>
      </x:c>
      <x:c r="B24" s="17" t="str">
        <x:v>2026-07-17</x:v>
      </x:c>
      <x:c r="C24" s="17" t="str">
        <x:v>ACM Digital Library</x:v>
      </x:c>
      <x:c r="D24" s="17" t="str">
        <x:v>"FPT-EMS: An FPGA Implementation Using NB-LDPC Code for Continuous-Variable Quantum Key Distribution"</x:v>
      </x:c>
      <x:c r="E24" s="17" t="str">
        <x:v>Primary/official source; identity, platform, metrics-scope and latency-scope verification</x:v>
      </x:c>
      <x:c r="F24" s="17" t="str"/>
      <x:c r="G24" s="17" t="str">
        <x:v>1</x:v>
      </x:c>
      <x:c r="H24" s="17" t="str">
        <x:v>P021</x:v>
      </x:c>
      <x:c r="I24" s="17" t="str">
        <x:v>0</x:v>
      </x:c>
      <x:c r="J24" s="17" t="str"/>
      <x:c r="K24" s="17" t="str">
        <x:v>Batch 2 FPGA-component, hardware-GA and fidelity-routing audit</x:v>
      </x:c>
    </x:row>
    <x:row r="25">
      <x:c r="A25" s="17" t="str">
        <x:v>S022</x:v>
      </x:c>
      <x:c r="B25" s="17" t="str">
        <x:v>2026-07-17</x:v>
      </x:c>
      <x:c r="C25" s="17" t="str">
        <x:v>IEEE Xplore</x:v>
      </x:c>
      <x:c r="D25" s="17" t="str">
        <x:v>"FPGA-Based Synchronization of Frequency-Domain Interferometer for QKD"</x:v>
      </x:c>
      <x:c r="E25" s="17" t="str">
        <x:v>Primary/official source; identity, platform, metrics-scope and latency-scope verification</x:v>
      </x:c>
      <x:c r="F25" s="17" t="str"/>
      <x:c r="G25" s="17" t="str">
        <x:v>1</x:v>
      </x:c>
      <x:c r="H25" s="17" t="str">
        <x:v>P022</x:v>
      </x:c>
      <x:c r="I25" s="17" t="str">
        <x:v>0</x:v>
      </x:c>
      <x:c r="J25" s="17" t="str"/>
      <x:c r="K25" s="17" t="str">
        <x:v>Batch 2 FPGA-component, hardware-GA and fidelity-routing audit</x:v>
      </x:c>
    </x:row>
    <x:row r="26">
      <x:c r="A26" s="17" t="str">
        <x:v>S023</x:v>
      </x:c>
      <x:c r="B26" s="17" t="str">
        <x:v>2026-07-17</x:v>
      </x:c>
      <x:c r="C26" s="17" t="str">
        <x:v>Elsevier ScienceDirect</x:v>
      </x:c>
      <x:c r="D26" s="17" t="str">
        <x:v>"A fully customizable hardware implementation for general purpose genetic algorithms"</x:v>
      </x:c>
      <x:c r="E26" s="17" t="str">
        <x:v>Primary/official source; identity, platform, metrics-scope and latency-scope verification</x:v>
      </x:c>
      <x:c r="F26" s="17" t="str"/>
      <x:c r="G26" s="17" t="str">
        <x:v>1</x:v>
      </x:c>
      <x:c r="H26" s="17" t="str">
        <x:v>P023</x:v>
      </x:c>
      <x:c r="I26" s="17" t="str">
        <x:v>0</x:v>
      </x:c>
      <x:c r="J26" s="17" t="str"/>
      <x:c r="K26" s="17" t="str">
        <x:v>Batch 2 FPGA-component, hardware-GA and fidelity-routing audit</x:v>
      </x:c>
    </x:row>
    <x:row r="27">
      <x:c r="A27" s="17" t="str">
        <x:v>S024</x:v>
      </x:c>
      <x:c r="B27" s="17" t="str">
        <x:v>2026-07-17</x:v>
      </x:c>
      <x:c r="C27" s="17" t="str">
        <x:v>IEEE Xplore</x:v>
      </x:c>
      <x:c r="D27" s="17" t="str">
        <x:v>"Customizable FPGA IP Core Implementation of a General-Purpose Genetic Algorithm Engine"</x:v>
      </x:c>
      <x:c r="E27" s="17" t="str">
        <x:v>Primary/official source; identity, platform, metrics-scope and latency-scope verification</x:v>
      </x:c>
      <x:c r="F27" s="17" t="str"/>
      <x:c r="G27" s="17" t="str">
        <x:v>1</x:v>
      </x:c>
      <x:c r="H27" s="17" t="str">
        <x:v>P024</x:v>
      </x:c>
      <x:c r="I27" s="17" t="str">
        <x:v>0</x:v>
      </x:c>
      <x:c r="J27" s="17" t="str"/>
      <x:c r="K27" s="17" t="str">
        <x:v>Batch 2 FPGA-component, hardware-GA and fidelity-routing audit</x:v>
      </x:c>
    </x:row>
    <x:row r="28">
      <x:c r="A28" s="17" t="str">
        <x:v>S025</x:v>
      </x:c>
      <x:c r="B28" s="17" t="str">
        <x:v>2026-07-17</x:v>
      </x:c>
      <x:c r="C28" s="17" t="str">
        <x:v>SpringerLink</x:v>
      </x:c>
      <x:c r="D28" s="17" t="str">
        <x:v>"Automated Framework for General-Purpose Genetic Algorithms in FPGAs"</x:v>
      </x:c>
      <x:c r="E28" s="17" t="str">
        <x:v>Primary/official source; identity, platform, metrics-scope and latency-scope verification</x:v>
      </x:c>
      <x:c r="F28" s="17" t="str"/>
      <x:c r="G28" s="17" t="str">
        <x:v>1</x:v>
      </x:c>
      <x:c r="H28" s="17" t="str">
        <x:v>P025</x:v>
      </x:c>
      <x:c r="I28" s="17" t="str">
        <x:v>0</x:v>
      </x:c>
      <x:c r="J28" s="17" t="str"/>
      <x:c r="K28" s="17" t="str">
        <x:v>Batch 2 FPGA-component, hardware-GA and fidelity-routing audit</x:v>
      </x:c>
    </x:row>
    <x:row r="29">
      <x:c r="A29" s="17" t="str">
        <x:v>S026</x:v>
      </x:c>
      <x:c r="B29" s="17" t="str">
        <x:v>2026-07-17</x:v>
      </x:c>
      <x:c r="C29" s="17" t="str">
        <x:v>ACM Digital Library</x:v>
      </x:c>
      <x:c r="D29" s="17" t="str">
        <x:v>"RapidLayout: Fast Hard Block Placement of FPGA-Optimized Systolic Arrays Using Evolutionary Algorithms"</x:v>
      </x:c>
      <x:c r="E29" s="17" t="str">
        <x:v>Primary/official source; identity, platform, metrics-scope and latency-scope verification</x:v>
      </x:c>
      <x:c r="F29" s="17" t="str"/>
      <x:c r="G29" s="17" t="str">
        <x:v>1</x:v>
      </x:c>
      <x:c r="H29" s="17" t="str">
        <x:v>P026</x:v>
      </x:c>
      <x:c r="I29" s="17" t="str">
        <x:v>0</x:v>
      </x:c>
      <x:c r="J29" s="17" t="str"/>
      <x:c r="K29" s="17" t="str">
        <x:v>Batch 2 FPGA-component, hardware-GA and fidelity-routing audit</x:v>
      </x:c>
    </x:row>
    <x:row r="30">
      <x:c r="A30" s="17" t="str">
        <x:v>S027</x:v>
      </x:c>
      <x:c r="B30" s="17" t="str">
        <x:v>2026-07-17</x:v>
      </x:c>
      <x:c r="C30" s="17" t="str">
        <x:v>SpringerLink</x:v>
      </x:c>
      <x:c r="D30" s="17" t="str">
        <x:v>"A High-Performance, Pipelined, FPGA-Based Genetic Algorithm Machine"</x:v>
      </x:c>
      <x:c r="E30" s="17" t="str">
        <x:v>Primary/official source; identity, platform, metrics-scope and latency-scope verification</x:v>
      </x:c>
      <x:c r="F30" s="17" t="str"/>
      <x:c r="G30" s="17" t="str">
        <x:v>1</x:v>
      </x:c>
      <x:c r="H30" s="17" t="str">
        <x:v>P027</x:v>
      </x:c>
      <x:c r="I30" s="17" t="str">
        <x:v>0</x:v>
      </x:c>
      <x:c r="J30" s="17" t="str"/>
      <x:c r="K30" s="17" t="str">
        <x:v>Batch 2 FPGA-component, hardware-GA and fidelity-routing audit</x:v>
      </x:c>
    </x:row>
    <x:row r="31">
      <x:c r="A31" s="17" t="str">
        <x:v>S028</x:v>
      </x:c>
      <x:c r="B31" s="17" t="str">
        <x:v>2026-07-17</x:v>
      </x:c>
      <x:c r="C31" s="17" t="str">
        <x:v>IEEE / City University of Hong Kong</x:v>
      </x:c>
      <x:c r="D31" s="17" t="str">
        <x:v>"Hardware Implementation of Genetic Algorithms Using FPGA"</x:v>
      </x:c>
      <x:c r="E31" s="17" t="str">
        <x:v>Primary/official source; identity, platform, metrics-scope and latency-scope verification</x:v>
      </x:c>
      <x:c r="F31" s="17" t="str"/>
      <x:c r="G31" s="17" t="str">
        <x:v>1</x:v>
      </x:c>
      <x:c r="H31" s="17" t="str">
        <x:v>P028</x:v>
      </x:c>
      <x:c r="I31" s="17" t="str">
        <x:v>0</x:v>
      </x:c>
      <x:c r="J31" s="17" t="str"/>
      <x:c r="K31" s="17" t="str">
        <x:v>Batch 2 FPGA-component, hardware-GA and fidelity-routing audit</x:v>
      </x:c>
    </x:row>
    <x:row r="32">
      <x:c r="A32" s="17" t="str">
        <x:v>S029</x:v>
      </x:c>
      <x:c r="B32" s="17" t="str">
        <x:v>2026-07-17</x:v>
      </x:c>
      <x:c r="C32" s="17" t="str">
        <x:v>IEEE Xplore / arXiv</x:v>
      </x:c>
      <x:c r="D32" s="17" t="str">
        <x:v>"RELiQ: Scalable Entanglement Routing via Reinforcement Learning in Quantum Networks"</x:v>
      </x:c>
      <x:c r="E32" s="17" t="str">
        <x:v>Primary/official source; identity, platform, metrics-scope and latency-scope verification</x:v>
      </x:c>
      <x:c r="F32" s="17" t="str"/>
      <x:c r="G32" s="17" t="str">
        <x:v>1</x:v>
      </x:c>
      <x:c r="H32" s="17" t="str">
        <x:v>P029</x:v>
      </x:c>
      <x:c r="I32" s="17" t="str">
        <x:v>0</x:v>
      </x:c>
      <x:c r="J32" s="17" t="str"/>
      <x:c r="K32" s="17" t="str">
        <x:v>Batch 2 FPGA-component, hardware-GA and fidelity-routing audit</x:v>
      </x:c>
    </x:row>
    <x:row r="33">
      <x:c r="A33" s="17" t="str">
        <x:v>S030</x:v>
      </x:c>
      <x:c r="B33" s="17" t="str">
        <x:v>2026-07-17</x:v>
      </x:c>
      <x:c r="C33" s="17" t="str">
        <x:v>IEEE Xplore</x:v>
      </x:c>
      <x:c r="D33" s="17" t="str">
        <x:v>"qRL: Reinforcement Learning Routing for Quantum Entanglement Networks"</x:v>
      </x:c>
      <x:c r="E33" s="17" t="str">
        <x:v>Primary/official source; identity, platform, metrics-scope and latency-scope verification</x:v>
      </x:c>
      <x:c r="F33" s="17" t="str"/>
      <x:c r="G33" s="17" t="str">
        <x:v>1</x:v>
      </x:c>
      <x:c r="H33" s="17" t="str">
        <x:v>P030</x:v>
      </x:c>
      <x:c r="I33" s="17" t="str">
        <x:v>0</x:v>
      </x:c>
      <x:c r="J33" s="17" t="str"/>
      <x:c r="K33" s="17" t="str">
        <x:v>Batch 2 FPGA-component, hardware-GA and fidelity-routing audit</x:v>
      </x:c>
    </x:row>
    <x:row r="34">
      <x:c r="A34" s="17" t="str">
        <x:v>S031</x:v>
      </x:c>
      <x:c r="B34" s="17" t="str">
        <x:v>2026-07-17</x:v>
      </x:c>
      <x:c r="C34" s="17" t="str">
        <x:v>Research Square</x:v>
      </x:c>
      <x:c r="D34" s="17" t="str">
        <x:v>"QoS-Aware Reinforcement Learning Routing for Entanglement Networks"</x:v>
      </x:c>
      <x:c r="E34" s="17" t="str">
        <x:v>Primary/official source; identity, platform, metrics-scope and latency-scope verification</x:v>
      </x:c>
      <x:c r="F34" s="17" t="str"/>
      <x:c r="G34" s="17" t="str">
        <x:v>1</x:v>
      </x:c>
      <x:c r="H34" s="17" t="str">
        <x:v>P031</x:v>
      </x:c>
      <x:c r="I34" s="17" t="str">
        <x:v>0</x:v>
      </x:c>
      <x:c r="J34" s="17" t="str"/>
      <x:c r="K34" s="17" t="str">
        <x:v>Batch 2 FPGA-component, hardware-GA and fidelity-routing audit</x:v>
      </x:c>
    </x:row>
    <x:row r="35">
      <x:c r="A35" s="17" t="str">
        <x:v>S032</x:v>
      </x:c>
      <x:c r="B35" s="17" t="str">
        <x:v>2026-07-17</x:v>
      </x:c>
      <x:c r="C35" s="17" t="str">
        <x:v>IEEE Xplore</x:v>
      </x:c>
      <x:c r="D35" s="17" t="str">
        <x:v>"Entanglement Routing for Quantum Networks: A Deep Reinforcement Learning Approach"</x:v>
      </x:c>
      <x:c r="E35" s="17" t="str">
        <x:v>Primary/official source; identity, platform, metrics-scope and latency-scope verification</x:v>
      </x:c>
      <x:c r="F35" s="17" t="str"/>
      <x:c r="G35" s="17" t="str">
        <x:v>1</x:v>
      </x:c>
      <x:c r="H35" s="17" t="str">
        <x:v>P032</x:v>
      </x:c>
      <x:c r="I35" s="17" t="str">
        <x:v>0</x:v>
      </x:c>
      <x:c r="J35" s="17" t="str"/>
      <x:c r="K35" s="17" t="str">
        <x:v>Batch 2 FPGA-component, hardware-GA and fidelity-routing audit</x:v>
      </x:c>
    </x:row>
    <x:row r="36">
      <x:c r="A36" s="17" t="str">
        <x:v>S033</x:v>
      </x:c>
      <x:c r="B36" s="17" t="str">
        <x:v>2026-07-17</x:v>
      </x:c>
      <x:c r="C36" s="17" t="str">
        <x:v>arXiv</x:v>
      </x:c>
      <x:c r="D36" s="17" t="str">
        <x:v>"Robust Belief-State Policy Learning for Quantum Network Routing Under Decoherence and Time-Varying Conditions"</x:v>
      </x:c>
      <x:c r="E36" s="17" t="str">
        <x:v>Primary/official source; identity, evidence scope, platform and latency-boundary verification</x:v>
      </x:c>
      <x:c r="F36" s="17" t="str"/>
      <x:c r="G36" s="17" t="str">
        <x:v>1</x:v>
      </x:c>
      <x:c r="H36" s="17" t="str">
        <x:v>P033</x:v>
      </x:c>
      <x:c r="I36" s="17" t="str">
        <x:v>0</x:v>
      </x:c>
      <x:c r="J36" s="17" t="str"/>
      <x:c r="K36" s="17" t="str">
        <x:v>Batch 3 final audit: fidelity routing, TSN/data plane, simulation, algorithms and theory</x:v>
      </x:c>
    </x:row>
    <x:row r="37">
      <x:c r="A37" s="17" t="str">
        <x:v>S034</x:v>
      </x:c>
      <x:c r="B37" s="17" t="str">
        <x:v>2026-07-17</x:v>
      </x:c>
      <x:c r="C37" s="17" t="str">
        <x:v>Nature / Scientific Reports</x:v>
      </x:c>
      <x:c r="D37" s="17" t="str">
        <x:v>"Optimal key forwarding strategy in QKD behaviours"</x:v>
      </x:c>
      <x:c r="E37" s="17" t="str">
        <x:v>Primary/official source; identity, evidence scope, platform and latency-boundary verification</x:v>
      </x:c>
      <x:c r="F37" s="17" t="str"/>
      <x:c r="G37" s="17" t="str">
        <x:v>1</x:v>
      </x:c>
      <x:c r="H37" s="17" t="str">
        <x:v>P034</x:v>
      </x:c>
      <x:c r="I37" s="17" t="str">
        <x:v>0</x:v>
      </x:c>
      <x:c r="J37" s="17" t="str"/>
      <x:c r="K37" s="17" t="str">
        <x:v>Batch 3 final audit: fidelity routing, TSN/data plane, simulation, algorithms and theory</x:v>
      </x:c>
    </x:row>
    <x:row r="38">
      <x:c r="A38" s="17" t="str">
        <x:v>S035</x:v>
      </x:c>
      <x:c r="B38" s="17" t="str">
        <x:v>2026-07-17</x:v>
      </x:c>
      <x:c r="C38" s="17" t="str">
        <x:v>ACM Digital Library / arXiv</x:v>
      </x:c>
      <x:c r="D38" s="17" t="str">
        <x:v>"Time-Sensitive Networking (TSN) for Industrial Automation: Current Advances and Future Directions"</x:v>
      </x:c>
      <x:c r="E38" s="17" t="str">
        <x:v>Primary/official source; identity, evidence scope, platform and latency-boundary verification</x:v>
      </x:c>
      <x:c r="F38" s="17" t="str"/>
      <x:c r="G38" s="17" t="str">
        <x:v>1</x:v>
      </x:c>
      <x:c r="H38" s="17" t="str">
        <x:v>P035</x:v>
      </x:c>
      <x:c r="I38" s="17" t="str">
        <x:v>0</x:v>
      </x:c>
      <x:c r="J38" s="17" t="str"/>
      <x:c r="K38" s="17" t="str">
        <x:v>Batch 3 final audit: fidelity routing, TSN/data plane, simulation, algorithms and theory</x:v>
      </x:c>
    </x:row>
    <x:row r="39">
      <x:c r="A39" s="17" t="str">
        <x:v>S036</x:v>
      </x:c>
      <x:c r="B39" s="17" t="str">
        <x:v>2026-07-17</x:v>
      </x:c>
      <x:c r="C39" s="17" t="str">
        <x:v>IEEE Xplore / arXiv</x:v>
      </x:c>
      <x:c r="D39" s="17" t="str">
        <x:v>"Real-Time Scheduling for 802.1Qbv Time-Sensitive Networking (TSN): A Systematic Review and Experimental Study"</x:v>
      </x:c>
      <x:c r="E39" s="17" t="str">
        <x:v>Primary/official source; identity, evidence scope, platform and latency-boundary verification</x:v>
      </x:c>
      <x:c r="F39" s="17" t="str"/>
      <x:c r="G39" s="17" t="str">
        <x:v>1</x:v>
      </x:c>
      <x:c r="H39" s="17" t="str">
        <x:v>P036</x:v>
      </x:c>
      <x:c r="I39" s="17" t="str">
        <x:v>0</x:v>
      </x:c>
      <x:c r="J39" s="17" t="str"/>
      <x:c r="K39" s="17" t="str">
        <x:v>Batch 3 final audit: fidelity routing, TSN/data plane, simulation, algorithms and theory</x:v>
      </x:c>
    </x:row>
    <x:row r="40">
      <x:c r="A40" s="17" t="str">
        <x:v>S037</x:v>
      </x:c>
      <x:c r="B40" s="17" t="str">
        <x:v>2026-07-17</x:v>
      </x:c>
      <x:c r="C40" s="17" t="str">
        <x:v>HAL</x:v>
      </x:c>
      <x:c r="D40" s="17" t="str">
        <x:v>"Configuring the IEEE 802.1Qbv Time-aware shaper with deep reinforcement learning"</x:v>
      </x:c>
      <x:c r="E40" s="17" t="str">
        <x:v>Primary/official source; identity, evidence scope, platform and latency-boundary verification</x:v>
      </x:c>
      <x:c r="F40" s="17" t="str"/>
      <x:c r="G40" s="17" t="str">
        <x:v>1</x:v>
      </x:c>
      <x:c r="H40" s="17" t="str">
        <x:v>P037</x:v>
      </x:c>
      <x:c r="I40" s="17" t="str">
        <x:v>0</x:v>
      </x:c>
      <x:c r="J40" s="17" t="str"/>
      <x:c r="K40" s="17" t="str">
        <x:v>Batch 3 final audit: fidelity routing, TSN/data plane, simulation, algorithms and theory</x:v>
      </x:c>
    </x:row>
    <x:row r="41">
      <x:c r="A41" s="17" t="str">
        <x:v>S038</x:v>
      </x:c>
      <x:c r="B41" s="17" t="str">
        <x:v>2026-07-17</x:v>
      </x:c>
      <x:c r="C41" s="17" t="str">
        <x:v>ACM Digital Library</x:v>
      </x:c>
      <x:c r="D41" s="17" t="str">
        <x:v>"P4: Programming Protocol-Independent Packet Processors"</x:v>
      </x:c>
      <x:c r="E41" s="17" t="str">
        <x:v>Primary/official source; identity, evidence scope, platform and latency-boundary verification</x:v>
      </x:c>
      <x:c r="F41" s="17" t="str"/>
      <x:c r="G41" s="17" t="str">
        <x:v>1</x:v>
      </x:c>
      <x:c r="H41" s="17" t="str">
        <x:v>P038</x:v>
      </x:c>
      <x:c r="I41" s="17" t="str">
        <x:v>0</x:v>
      </x:c>
      <x:c r="J41" s="17" t="str"/>
      <x:c r="K41" s="17" t="str">
        <x:v>Batch 3 final audit: fidelity routing, TSN/data plane, simulation, algorithms and theory</x:v>
      </x:c>
    </x:row>
    <x:row r="42">
      <x:c r="A42" s="17" t="str">
        <x:v>S039</x:v>
      </x:c>
      <x:c r="B42" s="17" t="str">
        <x:v>2026-07-17</x:v>
      </x:c>
      <x:c r="C42" s="17" t="str">
        <x:v>ACM Digital Library</x:v>
      </x:c>
      <x:c r="D42" s="17" t="str">
        <x:v>"Packet Transactions: High-Level Programming for Line-Rate Switches"</x:v>
      </x:c>
      <x:c r="E42" s="17" t="str">
        <x:v>Primary/official source; identity, evidence scope, platform and latency-boundary verification</x:v>
      </x:c>
      <x:c r="F42" s="17" t="str"/>
      <x:c r="G42" s="17" t="str">
        <x:v>1</x:v>
      </x:c>
      <x:c r="H42" s="17" t="str">
        <x:v>P039</x:v>
      </x:c>
      <x:c r="I42" s="17" t="str">
        <x:v>0</x:v>
      </x:c>
      <x:c r="J42" s="17" t="str"/>
      <x:c r="K42" s="17" t="str">
        <x:v>Explicit replacement source; original workbook identity not verified</x:v>
      </x:c>
    </x:row>
    <x:row r="43">
      <x:c r="A43" s="17" t="str">
        <x:v>S040</x:v>
      </x:c>
      <x:c r="B43" s="17" t="str">
        <x:v>2026-07-17</x:v>
      </x:c>
      <x:c r="C43" s="17" t="str">
        <x:v>IEEE Xplore exact-title search</x:v>
      </x:c>
      <x:c r="D43" s="17" t="str">
        <x:v>"Piecewise-Linear Approximation of Mathematical Functions in FPGA: Survey and Design Methodology"</x:v>
      </x:c>
      <x:c r="E43" s="17" t="str">
        <x:v>Primary/official source; identity, evidence scope, platform and latency-boundary verification</x:v>
      </x:c>
      <x:c r="F43" s="17" t="str">
        <x:v>0</x:v>
      </x:c>
      <x:c r="G43" s="17" t="str">
        <x:v>0</x:v>
      </x:c>
      <x:c r="H43" s="17" t="str">
        <x:v>P040</x:v>
      </x:c>
      <x:c r="I43" s="17" t="str">
        <x:v>1</x:v>
      </x:c>
      <x:c r="J43" s="17" t="str">
        <x:v>IDENTITY_NOT_VERIFIED</x:v>
      </x:c>
      <x:c r="K43" s="17" t="str">
        <x:v>Batch 3 final audit: fidelity routing, TSN/data plane, simulation, algorithms and theory</x:v>
      </x:c>
    </x:row>
    <x:row r="44">
      <x:c r="A44" s="17" t="str">
        <x:v>S041</x:v>
      </x:c>
      <x:c r="B44" s="17" t="str">
        <x:v>2026-07-17</x:v>
      </x:c>
      <x:c r="C44" s="17" t="str">
        <x:v>ACM Digital Library exact-title search</x:v>
      </x:c>
      <x:c r="D44" s="17" t="str">
        <x:v>"Hardware-Efficient Random Number Generation for FPGAs: Xorshift and LFSR Comparison"</x:v>
      </x:c>
      <x:c r="E44" s="17" t="str">
        <x:v>Primary/official source; identity, evidence scope, platform and latency-boundary verification</x:v>
      </x:c>
      <x:c r="F44" s="17" t="str">
        <x:v>0</x:v>
      </x:c>
      <x:c r="G44" s="17" t="str">
        <x:v>0</x:v>
      </x:c>
      <x:c r="H44" s="17" t="str">
        <x:v>P041</x:v>
      </x:c>
      <x:c r="I44" s="17" t="str">
        <x:v>1</x:v>
      </x:c>
      <x:c r="J44" s="17" t="str">
        <x:v>IDENTITY_NOT_VERIFIED</x:v>
      </x:c>
      <x:c r="K44" s="17" t="str">
        <x:v>Batch 3 final audit: fidelity routing, TSN/data plane, simulation, algorithms and theory</x:v>
      </x:c>
    </x:row>
    <x:row r="45">
      <x:c r="A45" s="17" t="str">
        <x:v>S042</x:v>
      </x:c>
      <x:c r="B45" s="17" t="str">
        <x:v>2026-07-17</x:v>
      </x:c>
      <x:c r="C45" s="17" t="str">
        <x:v>IEEE Xplore</x:v>
      </x:c>
      <x:c r="D45" s="17" t="str">
        <x:v>"A Survey of Quantum Key Distribution (QKD) Network Simulation Platforms"</x:v>
      </x:c>
      <x:c r="E45" s="17" t="str">
        <x:v>Primary/official source; identity, evidence scope, platform and latency-boundary verification</x:v>
      </x:c>
      <x:c r="F45" s="17" t="str"/>
      <x:c r="G45" s="17" t="str">
        <x:v>1</x:v>
      </x:c>
      <x:c r="H45" s="17" t="str">
        <x:v>P042</x:v>
      </x:c>
      <x:c r="I45" s="17" t="str">
        <x:v>0</x:v>
      </x:c>
      <x:c r="J45" s="17" t="str"/>
      <x:c r="K45" s="17" t="str">
        <x:v>Batch 3 final audit: fidelity routing, TSN/data plane, simulation, algorithms and theory</x:v>
      </x:c>
    </x:row>
    <x:row r="46">
      <x:c r="A46" s="17" t="str">
        <x:v>S043</x:v>
      </x:c>
      <x:c r="B46" s="17" t="str">
        <x:v>2026-07-17</x:v>
      </x:c>
      <x:c r="C46" s="17" t="str">
        <x:v>Nature / Communications Physics</x:v>
      </x:c>
      <x:c r="D46" s="17" t="str">
        <x:v>"NetSquid, a NETwork Simulator for QUantum Information using Discrete events"</x:v>
      </x:c>
      <x:c r="E46" s="17" t="str">
        <x:v>Primary/official source; identity, evidence scope, platform and latency-boundary verification</x:v>
      </x:c>
      <x:c r="F46" s="17" t="str"/>
      <x:c r="G46" s="17" t="str">
        <x:v>1</x:v>
      </x:c>
      <x:c r="H46" s="17" t="str">
        <x:v>P043</x:v>
      </x:c>
      <x:c r="I46" s="17" t="str">
        <x:v>0</x:v>
      </x:c>
      <x:c r="J46" s="17" t="str"/>
      <x:c r="K46" s="17" t="str">
        <x:v>Batch 3 final audit: fidelity routing, TSN/data plane, simulation, algorithms and theory</x:v>
      </x:c>
    </x:row>
    <x:row r="47">
      <x:c r="A47" s="17" t="str">
        <x:v>S044</x:v>
      </x:c>
      <x:c r="B47" s="17" t="str">
        <x:v>2026-07-17</x:v>
      </x:c>
      <x:c r="C47" s="17" t="str">
        <x:v>Springer Nature / EPJ Quantum Technology</x:v>
      </x:c>
      <x:c r="D47" s="17" t="str">
        <x:v>"Information reconciliation of continuous-variables quantum key distribution: principles, implementations and applications"</x:v>
      </x:c>
      <x:c r="E47" s="17" t="str">
        <x:v>Primary/official source; identity, evidence scope, platform and latency-boundary verification</x:v>
      </x:c>
      <x:c r="F47" s="17" t="str"/>
      <x:c r="G47" s="17" t="str">
        <x:v>1</x:v>
      </x:c>
      <x:c r="H47" s="17" t="str">
        <x:v>P044</x:v>
      </x:c>
      <x:c r="I47" s="17" t="str">
        <x:v>0</x:v>
      </x:c>
      <x:c r="J47" s="17" t="str"/>
      <x:c r="K47" s="17" t="str">
        <x:v>Batch 3 final audit: fidelity routing, TSN/data plane, simulation, algorithms and theory</x:v>
      </x:c>
    </x:row>
    <x:row r="48">
      <x:c r="A48" s="17" t="str">
        <x:v>S045</x:v>
      </x:c>
      <x:c r="B48" s="17" t="str">
        <x:v>2026-07-17</x:v>
      </x:c>
      <x:c r="C48" s="17" t="str">
        <x:v>ACM Digital Library</x:v>
      </x:c>
      <x:c r="D48" s="17" t="str">
        <x:v>"Quantum Key Distribution: A Networking Perspective"</x:v>
      </x:c>
      <x:c r="E48" s="17" t="str">
        <x:v>Primary/official source; identity, evidence scope, platform and latency-boundary verification</x:v>
      </x:c>
      <x:c r="F48" s="17" t="str"/>
      <x:c r="G48" s="17" t="str">
        <x:v>1</x:v>
      </x:c>
      <x:c r="H48" s="17" t="str">
        <x:v>P045</x:v>
      </x:c>
      <x:c r="I48" s="17" t="str">
        <x:v>0</x:v>
      </x:c>
      <x:c r="J48" s="17" t="str"/>
      <x:c r="K48" s="17" t="str">
        <x:v>Batch 3 final audit: fidelity routing, TSN/data plane, simulation, algorithms and theory</x:v>
      </x:c>
    </x:row>
    <x:row r="49">
      <x:c r="A49" s="17" t="str">
        <x:v>S046</x:v>
      </x:c>
      <x:c r="B49" s="17" t="str">
        <x:v>2026-07-17</x:v>
      </x:c>
      <x:c r="C49" s="17" t="str">
        <x:v>IEEE Xplore</x:v>
      </x:c>
      <x:c r="D49" s="17" t="str">
        <x:v>"A Fast and Elitist Multiobjective Genetic Algorithm: NSGA-II"</x:v>
      </x:c>
      <x:c r="E49" s="17" t="str">
        <x:v>Primary/official source; identity, evidence scope, platform and latency-boundary verification</x:v>
      </x:c>
      <x:c r="F49" s="17" t="str"/>
      <x:c r="G49" s="17" t="str">
        <x:v>1</x:v>
      </x:c>
      <x:c r="H49" s="17" t="str">
        <x:v>P046</x:v>
      </x:c>
      <x:c r="I49" s="17" t="str">
        <x:v>0</x:v>
      </x:c>
      <x:c r="J49" s="17" t="str"/>
      <x:c r="K49" s="17" t="str">
        <x:v>Batch 3 final audit: fidelity routing, TSN/data plane, simulation, algorithms and theory</x:v>
      </x:c>
    </x:row>
    <x:row r="50">
      <x:c r="A50" s="17" t="str">
        <x:v>S047</x:v>
      </x:c>
      <x:c r="B50" s="17" t="str">
        <x:v>2026-07-17</x:v>
      </x:c>
      <x:c r="C50" s="17" t="str">
        <x:v>IEEE Xplore</x:v>
      </x:c>
      <x:c r="D50" s="17" t="str">
        <x:v>"MOEA/D: A Multiobjective Evolutionary Algorithm Based on Decomposition"</x:v>
      </x:c>
      <x:c r="E50" s="17" t="str">
        <x:v>Primary/official source; identity, evidence scope, platform and latency-boundary verification</x:v>
      </x:c>
      <x:c r="F50" s="17" t="str"/>
      <x:c r="G50" s="17" t="str">
        <x:v>1</x:v>
      </x:c>
      <x:c r="H50" s="17" t="str">
        <x:v>P047</x:v>
      </x:c>
      <x:c r="I50" s="17" t="str">
        <x:v>0</x:v>
      </x:c>
      <x:c r="J50" s="17" t="str"/>
      <x:c r="K50" s="17" t="str">
        <x:v>Batch 3 final audit: fidelity routing, TSN/data plane, simulation, algorithms and theory</x:v>
      </x:c>
    </x:row>
    <x:row r="51">
      <x:c r="A51" s="17" t="str">
        <x:v>S048</x:v>
      </x:c>
      <x:c r="B51" s="17" t="str">
        <x:v>2026-07-17</x:v>
      </x:c>
      <x:c r="C51" s="17" t="str">
        <x:v>Elsevier ScienceDirect</x:v>
      </x:c>
      <x:c r="D51" s="17" t="str">
        <x:v>"Objectives and methods in multi-objective routing problems: a survey and classification scheme"</x:v>
      </x:c>
      <x:c r="E51" s="17" t="str">
        <x:v>Primary/official source; identity, evidence scope, platform and latency-boundary verification</x:v>
      </x:c>
      <x:c r="F51" s="17" t="str"/>
      <x:c r="G51" s="17" t="str">
        <x:v>1</x:v>
      </x:c>
      <x:c r="H51" s="17" t="str">
        <x:v>P048</x:v>
      </x:c>
      <x:c r="I51" s="17" t="str">
        <x:v>0</x:v>
      </x:c>
      <x:c r="J51" s="17" t="str"/>
      <x:c r="K51" s="17" t="str">
        <x:v>Explicit replacement source; original workbook identity not verified</x:v>
      </x:c>
    </x:row>
    <x:row r="52">
      <x:c r="A52" s="17" t="str">
        <x:v>S049</x:v>
      </x:c>
      <x:c r="B52" s="17" t="str">
        <x:v>2026-07-17</x:v>
      </x:c>
      <x:c r="C52" s="17" t="str">
        <x:v>Google Books bibliographic record</x:v>
      </x:c>
      <x:c r="D52" s="17" t="str">
        <x:v>"Computers and Intractability: A Guide to the Theory of NP-Completeness"</x:v>
      </x:c>
      <x:c r="E52" s="17" t="str">
        <x:v>Primary/official source; identity, evidence scope, platform and latency-boundary verification</x:v>
      </x:c>
      <x:c r="F52" s="17" t="str"/>
      <x:c r="G52" s="17" t="str">
        <x:v>1</x:v>
      </x:c>
      <x:c r="H52" s="17" t="str">
        <x:v>P049</x:v>
      </x:c>
      <x:c r="I52" s="17" t="str">
        <x:v>0</x:v>
      </x:c>
      <x:c r="J52" s="17" t="str"/>
      <x:c r="K52" s="17" t="str">
        <x:v>Batch 3 final audit: fidelity routing, TSN/data plane, simulation, algorithms and theory</x:v>
      </x:c>
    </x:row>
    <x:row r="53">
      <x:c r="A53" s="17" t="str">
        <x:v>S050</x:v>
      </x:c>
      <x:c r="B53" s="17" t="str">
        <x:v>2026-07-17</x:v>
      </x:c>
      <x:c r="C53" s="17" t="str">
        <x:v>INFORMS</x:v>
      </x:c>
      <x:c r="D53" s="17" t="str">
        <x:v>"Approximation Schemes for the Restricted Shortest Path Problem"</x:v>
      </x:c>
      <x:c r="E53" s="17" t="str">
        <x:v>Primary/official source; identity, evidence scope, platform and latency-boundary verification</x:v>
      </x:c>
      <x:c r="F53" s="17" t="str"/>
      <x:c r="G53" s="17" t="str">
        <x:v>1</x:v>
      </x:c>
      <x:c r="H53" s="17" t="str">
        <x:v>P050</x:v>
      </x:c>
      <x:c r="I53" s="17" t="str">
        <x:v>0</x:v>
      </x:c>
      <x:c r="J53" s="17" t="str"/>
      <x:c r="K53" s="17" t="str">
        <x:v>Batch 3 final audit: fidelity routing, TSN/data plane, simulation, algorithms and theory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f1e91f6f054a457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20" hidden="0" customWidth="1"/>
    <x:col min="5" max="5" width="40" hidden="0" customWidth="1"/>
    <x:col min="6" max="6" width="28" hidden="0" customWidth="1"/>
    <x:col min="7" max="7" width="11" hidden="0" customWidth="1"/>
    <x:col min="8" max="8" width="20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0" hidden="0" customWidth="1"/>
    <x:col min="14" max="14" width="28" hidden="0" customWidth="1"/>
    <x:col min="15" max="15" width="11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38" hidden="0" customWidth="1"/>
    <x:col min="24" max="24" width="20" hidden="0" customWidth="1"/>
    <x:col min="25" max="25" width="20" hidden="0" customWidth="1"/>
    <x:col min="26" max="26" width="20" hidden="0" customWidth="1"/>
    <x:col min="27" max="27" width="42" hidden="0" customWidth="1"/>
    <x:col min="28" max="28" width="42" hidden="0" customWidth="1"/>
    <x:col min="29" max="29" width="42" hidden="0" customWidth="1"/>
    <x:col min="30" max="30" width="20" hidden="0" customWidth="1"/>
    <x:col min="31" max="31" width="20" hidden="0" customWidth="1"/>
    <x:col min="32" max="32" width="42" hidden="0" customWidth="1"/>
    <x:col min="33" max="33" width="42" hidden="0" customWidth="1"/>
  </x:cols>
  <x:sheetData>
    <x:row r="1" ht="30" customHeight="1">
      <x:c r="A1" s="38" t="str">
        <x:v>Full Paper Audit Trail</x:v>
      </x:c>
      <x:c r="B1" s="38" t="str">
        <x:v>Full Paper Audit Trail</x:v>
      </x:c>
      <x:c r="C1" s="38" t="str">
        <x:v>Full Paper Audit Trail</x:v>
      </x:c>
      <x:c r="D1" s="38" t="str">
        <x:v>Full Paper Audit Trail</x:v>
      </x:c>
      <x:c r="E1" s="38" t="str">
        <x:v>Full Paper Audit Trail</x:v>
      </x:c>
      <x:c r="F1" s="38" t="str">
        <x:v>Full Paper Audit Trail</x:v>
      </x:c>
      <x:c r="G1" s="38" t="str">
        <x:v>Full Paper Audit Trail</x:v>
      </x:c>
      <x:c r="H1" s="38" t="str">
        <x:v>Full Paper Audit Trail</x:v>
      </x:c>
      <x:c r="I1" s="38" t="str">
        <x:v>Full Paper Audit Trail</x:v>
      </x:c>
      <x:c r="J1" s="38" t="str">
        <x:v>Full Paper Audit Trail</x:v>
      </x:c>
      <x:c r="K1" s="38" t="str">
        <x:v>Full Paper Audit Trail</x:v>
      </x:c>
      <x:c r="L1" s="38" t="str">
        <x:v>Full Paper Audit Trail</x:v>
      </x:c>
      <x:c r="M1" s="38" t="str">
        <x:v>Full Paper Audit Trail</x:v>
      </x:c>
      <x:c r="N1" s="38" t="str">
        <x:v>Full Paper Audit Trail</x:v>
      </x:c>
      <x:c r="O1" s="38" t="str">
        <x:v>Full Paper Audit Trail</x:v>
      </x:c>
      <x:c r="P1" s="38" t="str">
        <x:v>Full Paper Audit Trail</x:v>
      </x:c>
      <x:c r="Q1" s="38" t="str">
        <x:v>Full Paper Audit Trail</x:v>
      </x:c>
      <x:c r="R1" s="38" t="str">
        <x:v>Full Paper Audit Trail</x:v>
      </x:c>
      <x:c r="S1" s="38" t="str">
        <x:v>Full Paper Audit Trail</x:v>
      </x:c>
      <x:c r="T1" s="38" t="str">
        <x:v>Full Paper Audit Trail</x:v>
      </x:c>
      <x:c r="U1" s="38" t="str">
        <x:v>Full Paper Audit Trail</x:v>
      </x:c>
      <x:c r="V1" s="38" t="str">
        <x:v>Full Paper Audit Trail</x:v>
      </x:c>
      <x:c r="W1" s="38" t="str">
        <x:v>Full Paper Audit Trail</x:v>
      </x:c>
      <x:c r="X1" s="38" t="str">
        <x:v>Full Paper Audit Trail</x:v>
      </x:c>
      <x:c r="Y1" s="38" t="str">
        <x:v>Full Paper Audit Trail</x:v>
      </x:c>
      <x:c r="Z1" s="38" t="str">
        <x:v>Full Paper Audit Trail</x:v>
      </x:c>
      <x:c r="AA1" s="38" t="str">
        <x:v>Full Paper Audit Trail</x:v>
      </x:c>
      <x:c r="AB1" s="38" t="str">
        <x:v>Full Paper Audit Trail</x:v>
      </x:c>
      <x:c r="AC1" s="38" t="str">
        <x:v>Full Paper Audit Trail</x:v>
      </x:c>
      <x:c r="AD1" s="38" t="str">
        <x:v>Full Paper Audit Trail</x:v>
      </x:c>
      <x:c r="AE1" s="38" t="str">
        <x:v>Full Paper Audit Trail</x:v>
      </x:c>
      <x:c r="AF1" s="38" t="str">
        <x:v>Full Paper Audit Trail</x:v>
      </x:c>
      <x:c r="AG1" s="38" t="str">
        <x:v>Full Paper Audit Trail</x:v>
      </x:c>
    </x:row>
    <x:row r="2" ht="28" customHeight="1">
      <x:c r="A2" s="9" t="str">
        <x:v>Machine-readable provenance: original workbook fields, verified identities, evidence-layer classifications, corrected summaries and dispositions.</x:v>
      </x:c>
      <x:c r="B2" s="9" t="str">
        <x:v>Machine-readable provenance: original workbook fields, verified identities, evidence-layer classifications, corrected summaries and dispositions.</x:v>
      </x:c>
      <x:c r="C2" s="9" t="str">
        <x:v>Machine-readable provenance: original workbook fields, verified identities, evidence-layer classifications, corrected summaries and dispositions.</x:v>
      </x:c>
      <x:c r="D2" s="9" t="str">
        <x:v>Machine-readable provenance: original workbook fields, verified identities, evidence-layer classifications, corrected summaries and dispositions.</x:v>
      </x:c>
      <x:c r="E2" s="9" t="str">
        <x:v>Machine-readable provenance: original workbook fields, verified identities, evidence-layer classifications, corrected summaries and dispositions.</x:v>
      </x:c>
      <x:c r="F2" s="9" t="str">
        <x:v>Machine-readable provenance: original workbook fields, verified identities, evidence-layer classifications, corrected summaries and dispositions.</x:v>
      </x:c>
      <x:c r="G2" s="9" t="str">
        <x:v>Machine-readable provenance: original workbook fields, verified identities, evidence-layer classifications, corrected summaries and dispositions.</x:v>
      </x:c>
      <x:c r="H2" s="9" t="str">
        <x:v>Machine-readable provenance: original workbook fields, verified identities, evidence-layer classifications, corrected summaries and dispositions.</x:v>
      </x:c>
      <x:c r="I2" s="9" t="str">
        <x:v>Machine-readable provenance: original workbook fields, verified identities, evidence-layer classifications, corrected summaries and dispositions.</x:v>
      </x:c>
      <x:c r="J2" s="9" t="str">
        <x:v>Machine-readable provenance: original workbook fields, verified identities, evidence-layer classifications, corrected summaries and dispositions.</x:v>
      </x:c>
      <x:c r="K2" s="9" t="str">
        <x:v>Machine-readable provenance: original workbook fields, verified identities, evidence-layer classifications, corrected summaries and dispositions.</x:v>
      </x:c>
      <x:c r="L2" s="9" t="str">
        <x:v>Machine-readable provenance: original workbook fields, verified identities, evidence-layer classifications, corrected summaries and dispositions.</x:v>
      </x:c>
      <x:c r="M2" s="9" t="str">
        <x:v>Machine-readable provenance: original workbook fields, verified identities, evidence-layer classifications, corrected summaries and dispositions.</x:v>
      </x:c>
      <x:c r="N2" s="9" t="str">
        <x:v>Machine-readable provenance: original workbook fields, verified identities, evidence-layer classifications, corrected summaries and dispositions.</x:v>
      </x:c>
      <x:c r="O2" s="9" t="str">
        <x:v>Machine-readable provenance: original workbook fields, verified identities, evidence-layer classifications, corrected summaries and dispositions.</x:v>
      </x:c>
      <x:c r="P2" s="9" t="str">
        <x:v>Machine-readable provenance: original workbook fields, verified identities, evidence-layer classifications, corrected summaries and dispositions.</x:v>
      </x:c>
      <x:c r="Q2" s="9" t="str">
        <x:v>Machine-readable provenance: original workbook fields, verified identities, evidence-layer classifications, corrected summaries and dispositions.</x:v>
      </x:c>
      <x:c r="R2" s="9" t="str">
        <x:v>Machine-readable provenance: original workbook fields, verified identities, evidence-layer classifications, corrected summaries and dispositions.</x:v>
      </x:c>
      <x:c r="S2" s="9" t="str">
        <x:v>Machine-readable provenance: original workbook fields, verified identities, evidence-layer classifications, corrected summaries and dispositions.</x:v>
      </x:c>
      <x:c r="T2" s="9" t="str">
        <x:v>Machine-readable provenance: original workbook fields, verified identities, evidence-layer classifications, corrected summaries and dispositions.</x:v>
      </x:c>
      <x:c r="U2" s="9" t="str">
        <x:v>Machine-readable provenance: original workbook fields, verified identities, evidence-layer classifications, corrected summaries and dispositions.</x:v>
      </x:c>
      <x:c r="V2" s="9" t="str">
        <x:v>Machine-readable provenance: original workbook fields, verified identities, evidence-layer classifications, corrected summaries and dispositions.</x:v>
      </x:c>
      <x:c r="W2" s="9" t="str">
        <x:v>Machine-readable provenance: original workbook fields, verified identities, evidence-layer classifications, corrected summaries and dispositions.</x:v>
      </x:c>
      <x:c r="X2" s="9" t="str">
        <x:v>Machine-readable provenance: original workbook fields, verified identities, evidence-layer classifications, corrected summaries and dispositions.</x:v>
      </x:c>
      <x:c r="Y2" s="9" t="str">
        <x:v>Machine-readable provenance: original workbook fields, verified identities, evidence-layer classifications, corrected summaries and dispositions.</x:v>
      </x:c>
      <x:c r="Z2" s="9" t="str">
        <x:v>Machine-readable provenance: original workbook fields, verified identities, evidence-layer classifications, corrected summaries and dispositions.</x:v>
      </x:c>
      <x:c r="AA2" s="9" t="str">
        <x:v>Machine-readable provenance: original workbook fields, verified identities, evidence-layer classifications, corrected summaries and dispositions.</x:v>
      </x:c>
      <x:c r="AB2" s="9" t="str">
        <x:v>Machine-readable provenance: original workbook fields, verified identities, evidence-layer classifications, corrected summaries and dispositions.</x:v>
      </x:c>
      <x:c r="AC2" s="9" t="str">
        <x:v>Machine-readable provenance: original workbook fields, verified identities, evidence-layer classifications, corrected summaries and dispositions.</x:v>
      </x:c>
      <x:c r="AD2" s="9" t="str">
        <x:v>Machine-readable provenance: original workbook fields, verified identities, evidence-layer classifications, corrected summaries and dispositions.</x:v>
      </x:c>
      <x:c r="AE2" s="9" t="str">
        <x:v>Machine-readable provenance: original workbook fields, verified identities, evidence-layer classifications, corrected summaries and dispositions.</x:v>
      </x:c>
      <x:c r="AF2" s="9" t="str">
        <x:v>Machine-readable provenance: original workbook fields, verified identities, evidence-layer classifications, corrected summaries and dispositions.</x:v>
      </x:c>
      <x:c r="AG2" s="9" t="str">
        <x:v>Machine-readable provenance: original workbook fields, verified identities, evidence-layer classifications, corrected summaries and dispositions.</x:v>
      </x:c>
    </x:row>
    <x:row r="3" ht="32" customHeight="1">
      <x:c r="A3" s="14" t="str">
        <x:v>audit_id</x:v>
      </x:c>
      <x:c r="B3" s="14" t="str">
        <x:v>source_xlsx_row</x:v>
      </x:c>
      <x:c r="C3" s="14" t="str">
        <x:v>original_no</x:v>
      </x:c>
      <x:c r="D3" s="14" t="str">
        <x:v>original_category</x:v>
      </x:c>
      <x:c r="E3" s="14" t="str">
        <x:v>original_title</x:v>
      </x:c>
      <x:c r="F3" s="14" t="str">
        <x:v>original_authors</x:v>
      </x:c>
      <x:c r="G3" s="14" t="str">
        <x:v>original_year</x:v>
      </x:c>
      <x:c r="H3" s="14" t="str">
        <x:v>original_venue</x:v>
      </x:c>
      <x:c r="I3" s="14" t="str">
        <x:v>original_method_claim</x:v>
      </x:c>
      <x:c r="J3" s="14" t="str">
        <x:v>original_metrics_claim</x:v>
      </x:c>
      <x:c r="K3" s="14" t="str">
        <x:v>original_limitations_claim</x:v>
      </x:c>
      <x:c r="L3" s="14" t="str">
        <x:v>original_relevance_claim</x:v>
      </x:c>
      <x:c r="M3" s="14" t="str">
        <x:v>verified_title</x:v>
      </x:c>
      <x:c r="N3" s="14" t="str">
        <x:v>verified_authors</x:v>
      </x:c>
      <x:c r="O3" s="14" t="str">
        <x:v>verified_year</x:v>
      </x:c>
      <x:c r="P3" s="14" t="str">
        <x:v>verified_venue</x:v>
      </x:c>
      <x:c r="Q3" s="14" t="str">
        <x:v>comparison_class</x:v>
      </x:c>
      <x:c r="R3" s="14" t="str">
        <x:v>implementation_platform</x:v>
      </x:c>
      <x:c r="S3" s="14" t="str">
        <x:v>evidence_layer</x:v>
      </x:c>
      <x:c r="T3" s="14" t="str">
        <x:v>identity_status</x:v>
      </x:c>
      <x:c r="U3" s="14" t="str">
        <x:v>metrics_status</x:v>
      </x:c>
      <x:c r="V3" s="14" t="str">
        <x:v>latency_status</x:v>
      </x:c>
      <x:c r="W3" s="14" t="str">
        <x:v>direct_source_url</x:v>
      </x:c>
      <x:c r="X3" s="14" t="str">
        <x:v>doi_or_identifier</x:v>
      </x:c>
      <x:c r="Y3" s="14" t="str">
        <x:v>verification_scope</x:v>
      </x:c>
      <x:c r="Z3" s="14" t="str">
        <x:v>verification_date</x:v>
      </x:c>
      <x:c r="AA3" s="14" t="str">
        <x:v>corrected_method_summary</x:v>
      </x:c>
      <x:c r="AB3" s="14" t="str">
        <x:v>corrected_metrics_summary</x:v>
      </x:c>
      <x:c r="AC3" s="14" t="str">
        <x:v>corrected_limitations_summary</x:v>
      </x:c>
      <x:c r="AD3" s="14" t="str">
        <x:v>corrected_relevance_to_qflow</x:v>
      </x:c>
      <x:c r="AE3" s="14" t="str">
        <x:v>verification_status</x:v>
      </x:c>
      <x:c r="AF3" s="14" t="str">
        <x:v>exclusion_or_hold_reason</x:v>
      </x:c>
      <x:c r="AG3" s="14" t="str">
        <x:v>reviewer_notes</x:v>
      </x:c>
    </x:row>
    <x:row r="4">
      <x:c r="A4" s="17" t="str">
        <x:v>P001</x:v>
      </x:c>
      <x:c r="B4" s="17" t="str">
        <x:v>4</x:v>
      </x:c>
      <x:c r="C4" s="17" t="str">
        <x:v>1</x:v>
      </x:c>
      <x:c r="D4" s="17" t="str">
        <x:v>QKD Routing Algorithms</x:v>
      </x:c>
      <x:c r="E4" s="17" t="str">
        <x:v>Adaptive Routing for Meshed QKD Networks of Flexible Size Using Deep Reinforcement Learning</x:v>
      </x:c>
      <x:c r="F4" s="17" t="str">
        <x:v>Johann, T.; Kühl, S.; Pachnicke, S.</x:v>
      </x:c>
      <x:c r="G4" s="17" t="str">
        <x:v>2026</x:v>
      </x:c>
      <x:c r="H4" s="17" t="str">
        <x:v>Photonics (MDPI)</x:v>
      </x:c>
      <x:c r="I4" s="17" t="str">
        <x:v>Deep Reinforcement Learning (DRL) with Graph Attention Networks (GATs) for hop-wise routing in unknown meshed QKD networks</x:v>
      </x:c>
      <x:c r="J4" s="17" t="str">
        <x:v>18.7% increase in mean key store filling levels vs. shortest-path; zero key store depletion; generalizes to unseen topologies including 14-node NSFNET</x:v>
      </x:c>
      <x:c r="K4" s="17" t="str">
        <x:v>Software-based agent; millisecond inference latency; requires offline training; cannot adapt sub-millisecond to key depletion events</x:v>
      </x:c>
      <x:c r="L4" s="17" t="str">
        <x:v>PRIMARY COUNTERPART. QFlow targets nanosecond hardware routing vs. this ms-latency DRL agent. Serves as baseline B4.</x:v>
      </x:c>
      <x:c r="M4" s="17" t="str">
        <x:v>Adaptive Routing for Meshed QKD Networks of Flexible Size Using Deep Reinforcement Learning</x:v>
      </x:c>
      <x:c r="N4" s="17" t="str">
        <x:v>Tim Johann; Sebastian Kühl; Stephan Pachnicke</x:v>
      </x:c>
      <x:c r="O4" s="17" t="str">
        <x:v>2026</x:v>
      </x:c>
      <x:c r="P4" s="17" t="str">
        <x:v>Photonics 13(2), Article 198</x:v>
      </x:c>
      <x:c r="Q4" s="17" t="str">
        <x:v>C</x:v>
      </x:c>
      <x:c r="R4" s="17" t="str">
        <x:v>CPU software; network simulation</x:v>
      </x:c>
      <x:c r="S4" s="17" t="str">
        <x:v>Network simulation</x:v>
      </x:c>
      <x:c r="T4" s="17" t="str">
        <x:v>Verified from publisher full text</x:v>
      </x:c>
      <x:c r="U4" s="17" t="str">
        <x:v>Verified from publisher full text</x:v>
      </x:c>
      <x:c r="V4" s="17" t="str">
        <x:v>Not reported for inference/decision runtime</x:v>
      </x:c>
      <x:c r="W4" s="17" t="str">
        <x:v>https://www.mdpi.com/2304-6732/13/2/198</x:v>
      </x:c>
      <x:c r="X4" s="17" t="str">
        <x:v>10.3390/photonics13020198</x:v>
      </x:c>
      <x:c r="Y4" s="17" t="str">
        <x:v>Publisher full text</x:v>
      </x:c>
      <x:c r="Z4" s="17" t="str">
        <x:v>2026-07-17</x:v>
      </x:c>
      <x:c r="AA4" s="17" t="str">
        <x:v>A GAT-based DRL agent performs hop-wise routing and generalizes across meshed QKD topologies.</x:v>
      </x:c>
      <x:c r="AB4" s="17" t="str">
        <x:v>In the reported 14-node NSFNET simulation, the agent achieved up to 18.7% higher mean key-store filling than weighted shortest path and avoided key-store depletion in the evaluated case.</x:v>
      </x:c>
      <x:c r="AC4" s="17" t="str">
        <x:v>Simulation study; no FPGA/ASIC routing datapath and no reported inference latency.</x:v>
      </x:c>
      <x:c r="AD4" s="17" t="str">
        <x:v>Class C algorithmic counterpart for load-aware routing; not a raw CPU-versus-FPGA speed baseline.</x:v>
      </x:c>
      <x:c r="AE4" s="17" t="str">
        <x:v>Verified</x:v>
      </x:c>
      <x:c r="AF4" s="17" t="str"/>
      <x:c r="AG4" s="17" t="str">
        <x:v>Original millisecond-latency statement is unsupported by the paper and must be removed.</x:v>
      </x:c>
    </x:row>
    <x:row r="5">
      <x:c r="A5" s="17" t="str">
        <x:v>P002</x:v>
      </x:c>
      <x:c r="B5" s="17" t="str">
        <x:v>5</x:v>
      </x:c>
      <x:c r="C5" s="17" t="str">
        <x:v>2</x:v>
      </x:c>
      <x:c r="D5" s="17" t="str">
        <x:v>QKD Routing Algorithms</x:v>
      </x:c>
      <x:c r="E5" s="17" t="str">
        <x:v>Overview of Routing Approaches in Quantum Key Distribution Networks</x:v>
      </x:c>
      <x:c r="F5" s="17" t="str">
        <x:v>Cvitić, I.; Peraković, D.; Pinto, A.N.</x:v>
      </x:c>
      <x:c r="G5" s="17" t="str">
        <x:v>2025</x:v>
      </x:c>
      <x:c r="H5" s="17" t="str">
        <x:v>arXiv 2511.15465 (submitted IEEE)</x:v>
      </x:c>
      <x:c r="I5" s="17" t="str">
        <x:v>Systematic survey classifying 26 routing strategies for terrestrial, satellite, and hybrid QKD networks; categories: key-rate-aware, multi-path, RL, SDN</x:v>
      </x:c>
      <x:c r="J5" s="17" t="str">
        <x:v>Key-aware dynamic algorithms reduce service rejection 25–40% vs. static SP; multi-path increases resilience but raises key consumption 30–60%</x:v>
      </x:c>
      <x:c r="K5" s="17" t="str">
        <x:v>Survey paper only; no hardware implementations; all strategies operate at software/SDN level with ms latency polling</x:v>
      </x:c>
      <x:c r="L5" s="17" t="str">
        <x:v>Definitively establishes gap QFlow fills: all 26 reviewed strategies are software-based. QFlow is the first hardware dataplane solution.</x:v>
      </x:c>
      <x:c r="M5" s="17" t="str">
        <x:v>Overview of Routing Approaches in Quantum Key Distribution Networks</x:v>
      </x:c>
      <x:c r="N5" s="17" t="str">
        <x:v>Ivan Cvitić; Dragan Peraković; Armando Nolasco Pinto</x:v>
      </x:c>
      <x:c r="O5" s="17" t="str">
        <x:v>2025</x:v>
      </x:c>
      <x:c r="P5" s="17" t="str">
        <x:v>arXiv:2511.15465</x:v>
      </x:c>
      <x:c r="Q5" s="17" t="str">
        <x:v>C</x:v>
      </x:c>
      <x:c r="R5" s="17" t="str">
        <x:v>Survey/review</x:v>
      </x:c>
      <x:c r="S5" s="17" t="str">
        <x:v>Survey synthesis</x:v>
      </x:c>
      <x:c r="T5" s="17" t="str">
        <x:v>Verified from official arXiv record and manuscript</x:v>
      </x:c>
      <x:c r="U5" s="17" t="str">
        <x:v>Abstract-level quantitative statements verified</x:v>
      </x:c>
      <x:c r="V5" s="17" t="str">
        <x:v>Not reported</x:v>
      </x:c>
      <x:c r="W5" s="17" t="str">
        <x:v>https://arxiv.org/abs/2511.15465</x:v>
      </x:c>
      <x:c r="X5" s="17" t="str">
        <x:v>10.48550/arXiv.2511.15465</x:v>
      </x:c>
      <x:c r="Y5" s="17" t="str">
        <x:v>Official preprint</x:v>
      </x:c>
      <x:c r="Z5" s="17" t="str">
        <x:v>2026-07-17</x:v>
      </x:c>
      <x:c r="AA5" s="17" t="str">
        <x:v>Survey and classification of 26 QKD-routing strategies proposed from 2013 to 2024.</x:v>
      </x:c>
      <x:c r="AB5" s="17" t="str">
        <x:v>The abstract reports 25-40% lower service rejection for dynamic key-aware routing and 30-60% higher key consumption for multipath approaches.</x:v>
      </x:c>
      <x:c r="AC5" s="17" t="str">
        <x:v>Survey/preprint; it does not establish that every reviewed strategy is software or that all operate at millisecond latency.</x:v>
      </x:c>
      <x:c r="AD5" s="17" t="str">
        <x:v>Useful for Class C routing taxonomy and search seeds; cannot independently prove a universal hardware gap.</x:v>
      </x:c>
      <x:c r="AE5" s="17" t="str">
        <x:v>Verified with claim restriction</x:v>
      </x:c>
      <x:c r="AF5" s="17" t="str">
        <x:v>Universal 'all software' and millisecond-latency claims are not supported by the located text.</x:v>
      </x:c>
      <x:c r="AG5" s="17" t="str"/>
    </x:row>
    <x:row r="6">
      <x:c r="A6" s="17" t="str">
        <x:v>P003</x:v>
      </x:c>
      <x:c r="B6" s="17" t="str">
        <x:v>6</x:v>
      </x:c>
      <x:c r="C6" s="17" t="str">
        <x:v>3</x:v>
      </x:c>
      <x:c r="D6" s="17" t="str">
        <x:v>QKD Routing Algorithms</x:v>
      </x:c>
      <x:c r="E6" s="17" t="str">
        <x:v>Deep Reinforcement Learning-based Routing and Resource Assignment in QKD-Secured Optical Networks</x:v>
      </x:c>
      <x:c r="F6" s="17" t="str">
        <x:v>Sharma, P.; Bhatia, V.; Prakash, S.</x:v>
      </x:c>
      <x:c r="G6" s="17" t="str">
        <x:v>2023</x:v>
      </x:c>
      <x:c r="H6" s="17" t="str">
        <x:v>IET Quantum Communication, 4(4), 136–145</x:v>
      </x:c>
      <x:c r="I6" s="17" t="str">
        <x:v>DRL-based RRA scheme using DQN; state = QKD lightpath occupancy; outperforms DQN, FF, RF baselines on NSFNET and UBN24 topologies</x:v>
      </x:c>
      <x:c r="J6" s="17" t="str">
        <x:v>Lower blocking probability and better resource utilization vs. DQN baseline; demonstrated on 24-node US backbone network</x:v>
      </x:c>
      <x:c r="K6" s="17" t="str">
        <x:v>Inference in milliseconds; training data must include quantum channel state; no hardware implementation; not fidelity-decay aware</x:v>
      </x:c>
      <x:c r="L6" s="17" t="str">
        <x:v>Baseline B4 design inspiration. QFlow outperforms on latency (ns vs ms) with equal or better path quality.</x:v>
      </x:c>
      <x:c r="M6" s="17" t="str">
        <x:v>Deep reinforcement learning-based routing and resource assignment in quantum key distribution-secured optical networks</x:v>
      </x:c>
      <x:c r="N6" s="17" t="str">
        <x:v>Purva Sharma; Shubham Gupta; Vimal Bhatia; Shashi Prakash</x:v>
      </x:c>
      <x:c r="O6" s="17" t="str">
        <x:v>2023</x:v>
      </x:c>
      <x:c r="P6" s="17" t="str">
        <x:v>IET Quantum Communication 4, 136-145</x:v>
      </x:c>
      <x:c r="Q6" s="17" t="str">
        <x:v>C</x:v>
      </x:c>
      <x:c r="R6" s="17" t="str">
        <x:v>CPU software; network simulation</x:v>
      </x:c>
      <x:c r="S6" s="17" t="str">
        <x:v>Network simulation</x:v>
      </x:c>
      <x:c r="T6" s="17" t="str">
        <x:v>Verified from publisher paper</x:v>
      </x:c>
      <x:c r="U6" s="17" t="str">
        <x:v>Quantitative results verified from full text</x:v>
      </x:c>
      <x:c r="V6" s="17" t="str">
        <x:v>Not reported for inference/decision runtime</x:v>
      </x:c>
      <x:c r="W6" s="17" t="str">
        <x:v>https://ietresearch.onlinelibrary.wiley.com/doi/10.1049/qtc2.12063</x:v>
      </x:c>
      <x:c r="X6" s="17" t="str">
        <x:v>10.1049/qtc2.12063</x:v>
      </x:c>
      <x:c r="Y6" s="17" t="str">
        <x:v>Publisher paper/full text</x:v>
      </x:c>
      <x:c r="Z6" s="17" t="str">
        <x:v>2026-07-17</x:v>
      </x:c>
      <x:c r="AA6" s="17" t="str">
        <x:v>A PPO-based DRL routing and resource-assignment scheme is compared with DQN, first-fit and random-fit on NSFNET and UBN24.</x:v>
      </x:c>
      <x:c r="AB6" s="17" t="str">
        <x:v>Reported blocking reductions versus DQN/FF/RF are 7.19%/10.11%/33.50% on NSFNET and 2.47%/3.20%/19.60% on UBN24; resource-utilization improvements are also reported.</x:v>
      </x:c>
      <x:c r="AC6" s="17" t="str">
        <x:v>Simulation-only RRA evaluation; no hardware routing implementation and no reported inference latency.</x:v>
      </x:c>
      <x:c r="AD6" s="17" t="str">
        <x:v>Class C DRL-RRA counterpart; compare network utility only under matched traces, not timing against FPGA.</x:v>
      </x:c>
      <x:c r="AE6" s="17" t="str">
        <x:v>Verified</x:v>
      </x:c>
      <x:c r="AF6" s="17" t="str"/>
      <x:c r="AG6" s="17" t="str">
        <x:v>Original workbook omitted Shubham Gupta and misdescribed the proposed agent as DQN.</x:v>
      </x:c>
    </x:row>
    <x:row r="7">
      <x:c r="A7" s="17" t="str">
        <x:v>P004</x:v>
      </x:c>
      <x:c r="B7" s="17" t="str">
        <x:v>7</x:v>
      </x:c>
      <x:c r="C7" s="17" t="str">
        <x:v>4</x:v>
      </x:c>
      <x:c r="D7" s="17" t="str">
        <x:v>QKD Routing Algorithms</x:v>
      </x:c>
      <x:c r="E7" s="17" t="str">
        <x:v>A Quantum Key Distribution Routing Scheme for Hybrid-Trusted QKD Network System</x:v>
      </x:c>
      <x:c r="F7" s="17" t="str">
        <x:v>Chen, L.Q.; Chen, J.Q.; Chen, Q.Y.; Zhao, Y.L.</x:v>
      </x:c>
      <x:c r="G7" s="17" t="str">
        <x:v>2023</x:v>
      </x:c>
      <x:c r="H7" s="17" t="str">
        <x:v>Quantum Information Processing, 22(1), 75, Springer</x:v>
      </x:c>
      <x:c r="I7" s="17" t="str">
        <x:v>Improved Yen's k-shortest-paths + greedy load-balancing; multi-path with both trusted and hybrid-trusted paths; optimizes key consumption</x:v>
      </x:c>
      <x:c r="J7" s="17" t="str">
        <x:v>Feasible hybrid-trusted routing; superior load balancing and key consumption vs. single-path; simulation on 6-node network</x:v>
      </x:c>
      <x:c r="K7" s="17" t="str">
        <x:v>Greedy heuristic; does not model fidelity decay; software-only; polling-based key pool awareness; not real-time</x:v>
      </x:c>
      <x:c r="L7" s="17" t="str">
        <x:v>Related Work: demonstrates multi-objective QKD routing importance. QFlow adds continuous hardware fidelity tracking missing here.</x:v>
      </x:c>
      <x:c r="M7" s="17" t="str">
        <x:v>A quantum key distribution routing scheme for hybrid-trusted QKD network system</x:v>
      </x:c>
      <x:c r="N7" s="17" t="str">
        <x:v>Li-Quan Chen; Jing-Qi Chen; Qian-Ye Chen; Yong-Li Zhao</x:v>
      </x:c>
      <x:c r="O7" s="17" t="str">
        <x:v>2023</x:v>
      </x:c>
      <x:c r="P7" s="17" t="str">
        <x:v>Quantum Information Processing 22, Article 75</x:v>
      </x:c>
      <x:c r="Q7" s="17" t="str">
        <x:v>C</x:v>
      </x:c>
      <x:c r="R7" s="17" t="str">
        <x:v>Software algorithm; numerical simulation</x:v>
      </x:c>
      <x:c r="S7" s="17" t="str">
        <x:v>Network simulation</x:v>
      </x:c>
      <x:c r="T7" s="17" t="str">
        <x:v>Verified from publisher page</x:v>
      </x:c>
      <x:c r="U7" s="17" t="str">
        <x:v>Method and qualitative outcome verified; no normalized numeric claim retained</x:v>
      </x:c>
      <x:c r="V7" s="17" t="str">
        <x:v>Not reported</x:v>
      </x:c>
      <x:c r="W7" s="17" t="str">
        <x:v>https://link.springer.com/article/10.1007/s11128-022-03825-x</x:v>
      </x:c>
      <x:c r="X7" s="17" t="str">
        <x:v>10.1007/s11128-022-03825-x</x:v>
      </x:c>
      <x:c r="Y7" s="17" t="str">
        <x:v>Publisher metadata/abstract</x:v>
      </x:c>
      <x:c r="Z7" s="17" t="str">
        <x:v>2026-07-17</x:v>
      </x:c>
      <x:c r="AA7" s="17" t="str">
        <x:v>A routing scheme for hybrid-trusted QKD networks considers path selection and key-resource use.</x:v>
      </x:c>
      <x:c r="AB7" s="17" t="str">
        <x:v>The publisher source supports comparative simulation claims, but this audit retains no cross-paper normalized percentage.</x:v>
      </x:c>
      <x:c r="AC7" s="17" t="str">
        <x:v>Software/simulation work; no measured hardware decision latency.</x:v>
      </x:c>
      <x:c r="AD7" s="17" t="str">
        <x:v>Class C multipath/hybrid-trust counterpart; motivates security- and resource-aware baselines.</x:v>
      </x:c>
      <x:c r="AE7" s="17" t="str">
        <x:v>Verified</x:v>
      </x:c>
      <x:c r="AF7" s="17" t="str"/>
      <x:c r="AG7" s="17" t="str"/>
    </x:row>
    <x:row r="8">
      <x:c r="A8" s="17" t="str">
        <x:v>P005</x:v>
      </x:c>
      <x:c r="B8" s="17" t="str">
        <x:v>8</x:v>
      </x:c>
      <x:c r="C8" s="17" t="str">
        <x:v>5</x:v>
      </x:c>
      <x:c r="D8" s="17" t="str">
        <x:v>QKD Routing Algorithms</x:v>
      </x:c>
      <x:c r="E8" s="17" t="str">
        <x:v>A Dynamic-Routing Algorithm Based on a Virtual Quantum Key Distribution Network</x:v>
      </x:c>
      <x:c r="F8" s="17" t="str">
        <x:v>Bi, L.; Miao, M.; Di, X.</x:v>
      </x:c>
      <x:c r="G8" s="17" t="str">
        <x:v>2023</x:v>
      </x:c>
      <x:c r="H8" s="17" t="str">
        <x:v>Applied Sciences (MDPI), 13(15), 8690</x:v>
      </x:c>
      <x:c r="I8" s="17" t="str">
        <x:v>Bayesian link-blocking probability + residual key pool model; combines key quantity and blocking probability for route selection; Mininet simulation</x:v>
      </x:c>
      <x:c r="J8" s="17" t="str">
        <x:v>Better congestion avoidance, reduced delay, improved QKD efficiency vs. shortest-path; dynamic QKP sizing reduces resource waste</x:v>
      </x:c>
      <x:c r="K8" s="17" t="str">
        <x:v>Software-based; no fidelity model; polling interval introduces staleness; not hardware-accelerated</x:v>
      </x:c>
      <x:c r="L8" s="17" t="str">
        <x:v>Demonstrates key-pool-aware routing value. QFlow's SKAG provides real-time updates vs. their periodic polling model.</x:v>
      </x:c>
      <x:c r="M8" s="17" t="str">
        <x:v>A Dynamic-Routing Algorithm Based on a Virtual Quantum Key Distribution Network</x:v>
      </x:c>
      <x:c r="N8" s="17" t="str">
        <x:v>Lin Bi; Minghui Miao; Xiaoqiang Di</x:v>
      </x:c>
      <x:c r="O8" s="17" t="str">
        <x:v>2023</x:v>
      </x:c>
      <x:c r="P8" s="17" t="str">
        <x:v>Applied Sciences 13(15), Article 8690</x:v>
      </x:c>
      <x:c r="Q8" s="17" t="str">
        <x:v>C</x:v>
      </x:c>
      <x:c r="R8" s="17" t="str">
        <x:v>Software algorithm; network simulation</x:v>
      </x:c>
      <x:c r="S8" s="17" t="str">
        <x:v>Network simulation</x:v>
      </x:c>
      <x:c r="T8" s="17" t="str">
        <x:v>Verified from publisher full text</x:v>
      </x:c>
      <x:c r="U8" s="17" t="str">
        <x:v>Qualitative outcomes verified</x:v>
      </x:c>
      <x:c r="V8" s="17" t="str">
        <x:v>Not reported</x:v>
      </x:c>
      <x:c r="W8" s="17" t="str">
        <x:v>https://www.mdpi.com/2076-3417/13/15/8690</x:v>
      </x:c>
      <x:c r="X8" s="17" t="str">
        <x:v>10.3390/app13158690</x:v>
      </x:c>
      <x:c r="Y8" s="17" t="str">
        <x:v>Publisher full text</x:v>
      </x:c>
      <x:c r="Z8" s="17" t="str">
        <x:v>2026-07-17</x:v>
      </x:c>
      <x:c r="AA8" s="17" t="str">
        <x:v>Dynamic routing uses an adjustable quantum-key-pool model, residual keys and link-blocking information.</x:v>
      </x:c>
      <x:c r="AB8" s="17" t="str">
        <x:v>The paper reports simulation improvements in key-resource utilization and routing behavior; no cross-paper timing value is retained.</x:v>
      </x:c>
      <x:c r="AC8" s="17" t="str">
        <x:v>Software/simulation work; no fidelity-decay hardware or decision-runtime measurement.</x:v>
      </x:c>
      <x:c r="AD8" s="17" t="str">
        <x:v>Class C key-pool-aware routing counterpart.</x:v>
      </x:c>
      <x:c r="AE8" s="17" t="str">
        <x:v>Verified</x:v>
      </x:c>
      <x:c r="AF8" s="17" t="str"/>
      <x:c r="AG8" s="17" t="str"/>
    </x:row>
    <x:row r="9">
      <x:c r="A9" s="17" t="str">
        <x:v>P006</x:v>
      </x:c>
      <x:c r="B9" s="17" t="str">
        <x:v>9</x:v>
      </x:c>
      <x:c r="C9" s="17" t="str">
        <x:v>6</x:v>
      </x:c>
      <x:c r="D9" s="17" t="str">
        <x:v>QKD Routing Algorithms</x:v>
      </x:c>
      <x:c r="E9" s="17" t="str">
        <x:v>Routing Algorithm Within the Multiple Non-Overlapping Paths' Approach for QKD Networks</x:v>
      </x:c>
      <x:c r="F9" s="17" t="str">
        <x:v>Kiktenko, E.O.; Tayduganov, A.; Fedorov, A.K.</x:v>
      </x:c>
      <x:c r="G9" s="17" t="str">
        <x:v>2024</x:v>
      </x:c>
      <x:c r="H9" s="17" t="str">
        <x:v>Entropy, 26(12), 1102, MDPI</x:v>
      </x:c>
      <x:c r="I9" s="17" t="str">
        <x:v>Multiple non-overlapping paths algorithm to maximize security; path diversity prevents single-point key compromise; analytical throughput model</x:v>
      </x:c>
      <x:c r="J9" s="17" t="str">
        <x:v>Maximizes security against node compromise; theoretical throughput analysis; applicable to arbitrary topologies</x:v>
      </x:c>
      <x:c r="K9" s="17" t="str">
        <x:v>Ignores key fidelity decay; software routing decision; no real-time key pool state; focus on security not latency</x:v>
      </x:c>
      <x:c r="L9" s="17" t="str">
        <x:v>Related Work: multi-path QKD routing context. QFlow extends to fidelity-decay-aware multi-objective optimization in hardware.</x:v>
      </x:c>
      <x:c r="M9" s="17" t="str">
        <x:v>Routing Algorithm Within the Multiple Non-Overlapping Paths' Approach for Quantum Key Distribution Networks</x:v>
      </x:c>
      <x:c r="N9" s="17" t="str">
        <x:v>Evgeniy O. Kiktenko; Andrey Tayduganov; Aleksey K. Fedorov</x:v>
      </x:c>
      <x:c r="O9" s="17" t="str">
        <x:v>2024</x:v>
      </x:c>
      <x:c r="P9" s="17" t="str">
        <x:v>Entropy 26(12), Article 1102</x:v>
      </x:c>
      <x:c r="Q9" s="17" t="str">
        <x:v>C</x:v>
      </x:c>
      <x:c r="R9" s="17" t="str">
        <x:v>Algorithmic model; numerical simulation</x:v>
      </x:c>
      <x:c r="S9" s="17" t="str">
        <x:v>Network simulation</x:v>
      </x:c>
      <x:c r="T9" s="17" t="str">
        <x:v>Verified from publisher/official manuscript</x:v>
      </x:c>
      <x:c r="U9" s="17" t="str">
        <x:v>Model sizes and qualitative result verified</x:v>
      </x:c>
      <x:c r="V9" s="17" t="str">
        <x:v>Not reported</x:v>
      </x:c>
      <x:c r="W9" s="17" t="str">
        <x:v>https://www.mdpi.com/1099-4300/26/12/1102</x:v>
      </x:c>
      <x:c r="X9" s="17" t="str">
        <x:v>10.3390/e26121102</x:v>
      </x:c>
      <x:c r="Y9" s="17" t="str">
        <x:v>Publisher full text/official preprint</x:v>
      </x:c>
      <x:c r="Z9" s="17" t="str">
        <x:v>2026-07-17</x:v>
      </x:c>
      <x:c r="AA9" s="17" t="str">
        <x:v>The algorithm distributes keys through multiple non-overlapping paths to reduce dependence on any single trusted node.</x:v>
      </x:c>
      <x:c r="AB9" s="17" t="str">
        <x:v>Testing is reported on 6-node and 10-node QKD-network models.</x:v>
      </x:c>
      <x:c r="AC9" s="17" t="str">
        <x:v>Algorithmic/simulation evaluation; no FPGA implementation or decision-latency result.</x:v>
      </x:c>
      <x:c r="AD9" s="17" t="str">
        <x:v>Class C security and path-diversity counterpart.</x:v>
      </x:c>
      <x:c r="AE9" s="17" t="str">
        <x:v>Verified</x:v>
      </x:c>
      <x:c r="AF9" s="17" t="str"/>
      <x:c r="AG9" s="17" t="str"/>
    </x:row>
    <x:row r="10">
      <x:c r="A10" s="17" t="str">
        <x:v>P007</x:v>
      </x:c>
      <x:c r="B10" s="17" t="str">
        <x:v>10</x:v>
      </x:c>
      <x:c r="C10" s="17" t="str">
        <x:v>7</x:v>
      </x:c>
      <x:c r="D10" s="17" t="str">
        <x:v>QKD Routing Algorithms</x:v>
      </x:c>
      <x:c r="E10" s="17" t="str">
        <x:v>Q-Learning for Resource-Aware and Adaptive Routing in Trusted-Relay QKD Networks</x:v>
      </x:c>
      <x:c r="F10" s="17" t="str">
        <x:v>Shi, Z. et al.</x:v>
      </x:c>
      <x:c r="G10" s="17" t="str">
        <x:v>2025</x:v>
      </x:c>
      <x:c r="H10" s="17" t="str">
        <x:v>Photonics (MDPI), 12(10), 969</x:v>
      </x:c>
      <x:c r="I10" s="17" t="str">
        <x:v>Q-learning MDP with state = {current node, destination, discretized key occupancy}; reward penalizes imbalance and key depletion</x:v>
      </x:c>
      <x:c r="J10" s="17" t="str">
        <x:v>Avg delivery time ~100s vs. 170–590s for baselines; 45.8 vs 118.5 hops average delay; significant utilization improvement under heavy load</x:v>
      </x:c>
      <x:c r="K10" s="17" t="str">
        <x:v>Tabular Q-learning; slow convergence; still software; ms-scale decisions; no fidelity-decay model in state space</x:v>
      </x:c>
      <x:c r="L10" s="17" t="str">
        <x:v>Recent (2025) RL-routing baseline. Confirms RL routing advantages; QFlow delivers same optimization in nanoseconds via hardware.</x:v>
      </x:c>
      <x:c r="M10" s="17" t="str">
        <x:v>Q-Learning for Resource-Aware and Adaptive Routing in Trusted-Relay QKD Network</x:v>
      </x:c>
      <x:c r="N10" s="17" t="str">
        <x:v>Yuanchen Hao; Yuheng Xie; Wenpeng Gao; Jianjun Tang</x:v>
      </x:c>
      <x:c r="O10" s="17" t="str">
        <x:v>2025</x:v>
      </x:c>
      <x:c r="P10" s="17" t="str">
        <x:v>Photonics 12(10), Article 969</x:v>
      </x:c>
      <x:c r="Q10" s="17" t="str">
        <x:v>C</x:v>
      </x:c>
      <x:c r="R10" s="17" t="str">
        <x:v>Python software; NS-3.41 simulation</x:v>
      </x:c>
      <x:c r="S10" s="17" t="str">
        <x:v>Network simulation</x:v>
      </x:c>
      <x:c r="T10" s="17" t="str">
        <x:v>Verified from publisher full text</x:v>
      </x:c>
      <x:c r="U10" s="17" t="str">
        <x:v>Selected full-text metrics verified</x:v>
      </x:c>
      <x:c r="V10" s="17" t="str">
        <x:v>Inference runtime not reported; seconds are simulated key-delivery time</x:v>
      </x:c>
      <x:c r="W10" s="17" t="str">
        <x:v>https://www.mdpi.com/2304-6732/12/10/969</x:v>
      </x:c>
      <x:c r="X10" s="17" t="str">
        <x:v>10.3390/photonics12100969</x:v>
      </x:c>
      <x:c r="Y10" s="17" t="str">
        <x:v>Publisher full text</x:v>
      </x:c>
      <x:c r="Z10" s="17" t="str">
        <x:v>2026-07-17</x:v>
      </x:c>
      <x:c r="AA10" s="17" t="str">
        <x:v>Online tabular Q-learning selects next hops using key-resource state in an NS-3.41 QKD simulation framework.</x:v>
      </x:c>
      <x:c r="AB10" s="17" t="str">
        <x:v>The reported simulations show lower key-distribution time and throughput of about 34.6-61 keys/s for Q-learning under the studied settings.</x:v>
      </x:c>
      <x:c r="AC10" s="17" t="str">
        <x:v>The paper's seconds-scale values are simulated end-to-end key-distribution metrics, not controller inference latency.</x:v>
      </x:c>
      <x:c r="AD10" s="17" t="str">
        <x:v>Class C adaptive-routing counterpart and direct conceptual motivation for H4; never compare its distribution time with FPGA kernel cycles.</x:v>
      </x:c>
      <x:c r="AE10" s="17" t="str">
        <x:v>Verified</x:v>
      </x:c>
      <x:c r="AF10" s="17" t="str"/>
      <x:c r="AG10" s="17" t="str">
        <x:v>Original authors and the interpretation of seconds as decision latency were incorrect.</x:v>
      </x:c>
    </x:row>
    <x:row r="11">
      <x:c r="A11" s="17" t="str">
        <x:v>P008</x:v>
      </x:c>
      <x:c r="B11" s="17" t="str">
        <x:v>11</x:v>
      </x:c>
      <x:c r="C11" s="17" t="str">
        <x:v>8</x:v>
      </x:c>
      <x:c r="D11" s="17" t="str">
        <x:v>QKD Routing Algorithms</x:v>
      </x:c>
      <x:c r="E11" s="17" t="str">
        <x:v>Fast and Secure Routing Algorithms for Quantum Key Distribution Networks</x:v>
      </x:c>
      <x:c r="F11" s="17" t="str">
        <x:v>Vishnu, B.; Sinha, A.</x:v>
      </x:c>
      <x:c r="G11" s="17" t="str">
        <x:v>2023</x:v>
      </x:c>
      <x:c r="H11" s="17" t="str">
        <x:v>IEEE Transactions on Communications, 71(3)</x:v>
      </x:c>
      <x:c r="I11" s="17" t="str">
        <x:v>Tandem Queue Decomposition (TQD) combining UMW routing policy with QKD key generation process; stochastic key availability model</x:v>
      </x:c>
      <x:c r="J11" s="17" t="str">
        <x:v>Throughput-optimal policy; achieves entire secure capacity region for unicast/multicast/anycast; polynomial-time algorithm</x:v>
      </x:c>
      <x:c r="K11" s="17" t="str">
        <x:v>Theoretical throughput optimality; does not model key fidelity decay; centralized control; not hardware-accelerated</x:v>
      </x:c>
      <x:c r="L11" s="17" t="str">
        <x:v>Strong theoretical baseline. QFlow's stochastic SKAG model is motivated by their Poisson key arrival model.</x:v>
      </x:c>
      <x:c r="M11" s="17" t="str">
        <x:v>Fast and Secure Routing Algorithms for Quantum Key Distribution Networks</x:v>
      </x:c>
      <x:c r="N11" s="17" t="str">
        <x:v>Md Shahbaz Akhtar; Krishnakumar G.; Vishnu B.; Abhishek Sinha</x:v>
      </x:c>
      <x:c r="O11" s="17" t="str">
        <x:v>2023</x:v>
      </x:c>
      <x:c r="P11" s="17" t="str">
        <x:v>IEEE/ACM Transactions on Networking 31(5), 2281-2296</x:v>
      </x:c>
      <x:c r="Q11" s="17" t="str">
        <x:v>C</x:v>
      </x:c>
      <x:c r="R11" s="17" t="str">
        <x:v>Algorithmic policy; OMNeT++ simulation</x:v>
      </x:c>
      <x:c r="S11" s="17" t="str">
        <x:v>Analytical proof plus network simulation</x:v>
      </x:c>
      <x:c r="T11" s="17" t="str">
        <x:v>Verified from IEEE/arXiv record</x:v>
      </x:c>
      <x:c r="U11" s="17" t="str">
        <x:v>Throughput-optimality claim verified; no unsupported percentage retained</x:v>
      </x:c>
      <x:c r="V11" s="17" t="str">
        <x:v>Hardware/decision latency not reported</x:v>
      </x:c>
      <x:c r="W11" s="17" t="str">
        <x:v>https://ieeexplore.ieee.org/document/10051661</x:v>
      </x:c>
      <x:c r="X11" s="17" t="str">
        <x:v>10.1109/TNET.2023.3246114</x:v>
      </x:c>
      <x:c r="Y11" s="17" t="str">
        <x:v>Publisher record and official manuscript</x:v>
      </x:c>
      <x:c r="Z11" s="17" t="str">
        <x:v>2026-07-17</x:v>
      </x:c>
      <x:c r="AA11" s="17" t="str">
        <x:v>Tandem Queue Decomposition combines stochastic QKD key availability with a throughput-optimal routing formulation.</x:v>
      </x:c>
      <x:c r="AB11" s="17" t="str">
        <x:v>The paper proves throughput optimality for the stated model and evaluates competitiveness using OMNeT++ simulation.</x:v>
      </x:c>
      <x:c r="AC11" s="17" t="str">
        <x:v>No FPGA implementation and no hardware decision-latency measurement.</x:v>
      </x:c>
      <x:c r="AD11" s="17" t="str">
        <x:v>Strong Class C theoretical/algorithmic counterpart; the original workbook authorship was incomplete.</x:v>
      </x:c>
      <x:c r="AE11" s="17" t="str">
        <x:v>Verified</x:v>
      </x:c>
      <x:c r="AF11" s="17" t="str"/>
      <x:c r="AG11" s="17" t="str"/>
    </x:row>
    <x:row r="12">
      <x:c r="A12" s="17" t="str">
        <x:v>P009</x:v>
      </x:c>
      <x:c r="B12" s="17" t="str">
        <x:v>12</x:v>
      </x:c>
      <x:c r="C12" s="17" t="str">
        <x:v>9</x:v>
      </x:c>
      <x:c r="D12" s="17" t="str">
        <x:v>QKD Routing Algorithms</x:v>
      </x:c>
      <x:c r="E12" s="17" t="str">
        <x:v>Dynamic Security-Aware Resource Allocation in QKD-Enabled Optical Networks</x:v>
      </x:c>
      <x:c r="F12" s="17" t="str">
        <x:v>Chen, Y. et al.</x:v>
      </x:c>
      <x:c r="G12" s="17" t="str">
        <x:v>2025</x:v>
      </x:c>
      <x:c r="H12" s="17" t="str">
        <x:v>Photonics (MDPI), 12(7), 645</x:v>
      </x:c>
      <x:c r="I12" s="17" t="str">
        <x:v>D-SQRA: heuristic that jointly solves routing, wavelength, and time-slot assignment while dynamically adjusting security levels per network load</x:v>
      </x:c>
      <x:c r="J12" s="17" t="str">
        <x:v>Lower blocking probability than F-SQRA and B-QRA; adaptive security level reduces unnecessary key consumption under light load</x:v>
      </x:c>
      <x:c r="K12" s="17" t="str">
        <x:v>Heuristic; offline optimization; no hardware dataplane; security level adaptation not real-time</x:v>
      </x:c>
      <x:c r="L12" s="17" t="str">
        <x:v>Recent QKD resource allocation. QFlow unifies routing + scheduling + key management in hardware at nanosecond scale.</x:v>
      </x:c>
      <x:c r="M12" s="17" t="str">
        <x:v>Dynamic Security-Aware Resource Allocation in Quantum Key Distribution-Enabled Optical Networks</x:v>
      </x:c>
      <x:c r="N12" s="17" t="str">
        <x:v>Vimal Bhatia; Adolph Kasegenya; Bowen Chen</x:v>
      </x:c>
      <x:c r="O12" s="17" t="str">
        <x:v>2025</x:v>
      </x:c>
      <x:c r="P12" s="17" t="str">
        <x:v>Photonics 12(7), Article 645</x:v>
      </x:c>
      <x:c r="Q12" s="17" t="str">
        <x:v>C</x:v>
      </x:c>
      <x:c r="R12" s="17" t="str">
        <x:v>Software heuristic; network simulation</x:v>
      </x:c>
      <x:c r="S12" s="17" t="str">
        <x:v>Network simulation</x:v>
      </x:c>
      <x:c r="T12" s="17" t="str">
        <x:v>Verified from publisher full text</x:v>
      </x:c>
      <x:c r="U12" s="17" t="str">
        <x:v>Qualitative comparison verified</x:v>
      </x:c>
      <x:c r="V12" s="17" t="str">
        <x:v>Not reported</x:v>
      </x:c>
      <x:c r="W12" s="17" t="str">
        <x:v>https://www.mdpi.com/2304-6732/12/7/645</x:v>
      </x:c>
      <x:c r="X12" s="17" t="str">
        <x:v>10.3390/photonics12070645</x:v>
      </x:c>
      <x:c r="Y12" s="17" t="str">
        <x:v>Publisher full text</x:v>
      </x:c>
      <x:c r="Z12" s="17" t="str">
        <x:v>2026-07-17</x:v>
      </x:c>
      <x:c r="AA12" s="17" t="str">
        <x:v>Two D-SQRA heuristics jointly consider route, wavelength, time slot and adaptive security level.</x:v>
      </x:c>
      <x:c r="AB12" s="17" t="str">
        <x:v>The authors report reduced blocking and improved resource/security metrics on NSFNET and UBN24; this audit retains no unsourced cross-paper percentage.</x:v>
      </x:c>
      <x:c r="AC12" s="17" t="str">
        <x:v>Simulation study; no hardware dataplane or measured routing-decision latency.</x:v>
      </x:c>
      <x:c r="AD12" s="17" t="str">
        <x:v>Class C security-aware resource-allocation counterpart.</x:v>
      </x:c>
      <x:c r="AE12" s="17" t="str">
        <x:v>Verified</x:v>
      </x:c>
      <x:c r="AF12" s="17" t="str"/>
      <x:c r="AG12" s="17" t="str">
        <x:v>Original workbook authors were incorrect.</x:v>
      </x:c>
    </x:row>
    <x:row r="13">
      <x:c r="A13" s="17" t="str">
        <x:v>P010</x:v>
      </x:c>
      <x:c r="B13" s="17" t="str">
        <x:v>13</x:v>
      </x:c>
      <x:c r="C13" s="17" t="str">
        <x:v>10</x:v>
      </x:c>
      <x:c r="D13" s="17" t="str">
        <x:v>QKD Routing Algorithms</x:v>
      </x:c>
      <x:c r="E13" s="17" t="str">
        <x:v>Routing with Minimum Activated Trusted Nodes in QKD Networks</x:v>
      </x:c>
      <x:c r="F13" s="17" t="str">
        <x:v>Kong, P.Y.</x:v>
      </x:c>
      <x:c r="G13" s="17" t="str">
        <x:v>2024</x:v>
      </x:c>
      <x:c r="H13" s="17" t="str">
        <x:v>IEEE Internet of Things Journal, 11(9), 15219–15228</x:v>
      </x:c>
      <x:c r="I13" s="17" t="str">
        <x:v>ILP formulation minimizing number of activated trusted relay nodes while satisfying key rate and security constraints</x:v>
      </x:c>
      <x:c r="J13" s="17" t="str">
        <x:v>Optimal trusted node activation reduces cost 20–35%; applicable to large-scale IoT-integrated QKD networks</x:v>
      </x:c>
      <x:c r="K13" s="17" t="str">
        <x:v>ILP solver; exponential worst-case complexity; no fidelity model; software-only; not applicable to real-time routing</x:v>
      </x:c>
      <x:c r="L13" s="17" t="str">
        <x:v>Motivates trusted-node-aware routing. QFlow handles this implicitly via SKAG composite weights.</x:v>
      </x:c>
      <x:c r="M13" s="17" t="str">
        <x:v>Routing With Minimum Activated Trusted Nodes in Quantum Key Distribution Networks for Secure Communications</x:v>
      </x:c>
      <x:c r="N13" s="17" t="str">
        <x:v>Peng Yong Kong</x:v>
      </x:c>
      <x:c r="O13" s="17" t="str">
        <x:v>2024</x:v>
      </x:c>
      <x:c r="P13" s="17" t="str">
        <x:v>IEEE Internet of Things Journal 11(9), 15219-15228</x:v>
      </x:c>
      <x:c r="Q13" s="17" t="str">
        <x:v>C</x:v>
      </x:c>
      <x:c r="R13" s="17" t="str">
        <x:v>Optimization algorithm; numerical evaluation</x:v>
      </x:c>
      <x:c r="S13" s="17" t="str">
        <x:v>Algorithmic/numerical evaluation</x:v>
      </x:c>
      <x:c r="T13" s="17" t="str">
        <x:v>Verified from IEEE and institutional record</x:v>
      </x:c>
      <x:c r="U13" s="17" t="str">
        <x:v>Qualitative comparison verified; original 20-35% claim not retained</x:v>
      </x:c>
      <x:c r="V13" s="17" t="str">
        <x:v>Not reported</x:v>
      </x:c>
      <x:c r="W13" s="17" t="str">
        <x:v>https://ieeexplore.ieee.org/document/10380212</x:v>
      </x:c>
      <x:c r="X13" s="17" t="str">
        <x:v>10.1109/JIOT.2024.3349476</x:v>
      </x:c>
      <x:c r="Y13" s="17" t="str">
        <x:v>Publisher/institutional metadata and abstract</x:v>
      </x:c>
      <x:c r="Z13" s="17" t="str">
        <x:v>2026-07-17</x:v>
      </x:c>
      <x:c r="AA13" s="17" t="str">
        <x:v>The optimization selects routes that minimize activated trusted nodes while meeting secret-key-rate requirements.</x:v>
      </x:c>
      <x:c r="AB13" s="17" t="str">
        <x:v>Evaluation reports fewer activated trusted nodes than a shortest-path benchmark; the workbook's 20-35% value was not verified and is removed.</x:v>
      </x:c>
      <x:c r="AC13" s="17" t="str">
        <x:v>Optimization/evaluation study; no FPGA implementation or decision-latency result.</x:v>
      </x:c>
      <x:c r="AD13" s="17" t="str">
        <x:v>Class C trusted-node-aware routing counterpart.</x:v>
      </x:c>
      <x:c r="AE13" s="17" t="str">
        <x:v>Verified</x:v>
      </x:c>
      <x:c r="AF13" s="17" t="str"/>
      <x:c r="AG13" s="17" t="str"/>
    </x:row>
    <x:row r="14">
      <x:c r="A14" s="17" t="str">
        <x:v>P011</x:v>
      </x:c>
      <x:c r="B14" s="17" t="str">
        <x:v>14</x:v>
      </x:c>
      <x:c r="C14" s="17" t="str">
        <x:v>11</x:v>
      </x:c>
      <x:c r="D14" s="17" t="str">
        <x:v>QKD Routing Algorithms</x:v>
      </x:c>
      <x:c r="E14" s="17" t="str">
        <x:v>DRL-based Progressive Recovery for Quantum-Key-Distribution Networks</x:v>
      </x:c>
      <x:c r="F14" s="17" t="str">
        <x:v>Li, M.; Zhang, Q.; Gatto, A.; Bregni, S.; Verticale, G.; Tornatore, M.</x:v>
      </x:c>
      <x:c r="G14" s="17" t="str">
        <x:v>2024</x:v>
      </x:c>
      <x:c r="H14" s="17" t="str">
        <x:v>Journal of Optical Communications and Networking, 16(4), E36–E47</x:v>
      </x:c>
      <x:c r="I14" s="17" t="str">
        <x:v>DRL for progressive QKD network recovery after failures; trains on simulated QKD network failures; considers key availability during recovery</x:v>
      </x:c>
      <x:c r="J14" s="17" t="str">
        <x:v>Faster recovery than static methods; maintains &gt;90% throughput during recovery; evaluated on NSFNET</x:v>
      </x:c>
      <x:c r="K14" s="17" t="str">
        <x:v>Recovery scenario only; not for baseline routing; ms latency; no fidelity decay modeling</x:v>
      </x:c>
      <x:c r="L14" s="17" t="str">
        <x:v>Extends DRL routing to fault-tolerance. QFlow's SKAG naturally handles link failures (edge weight → infinity).</x:v>
      </x:c>
      <x:c r="M14" s="17" t="str">
        <x:v>DRL-based progressive recovery for quantum-key-distribution networks</x:v>
      </x:c>
      <x:c r="N14" s="17" t="str">
        <x:v>Mengyao Li; Qiaolun Zhang; Alberto Gatto; Stefano Bregni; Giacomo Verticale; Massimo Tornatore</x:v>
      </x:c>
      <x:c r="O14" s="17" t="str">
        <x:v>2024</x:v>
      </x:c>
      <x:c r="P14" s="17" t="str">
        <x:v>Journal of Optical Communications and Networking 16(9), E36-E47</x:v>
      </x:c>
      <x:c r="Q14" s="17" t="str">
        <x:v>C</x:v>
      </x:c>
      <x:c r="R14" s="17" t="str">
        <x:v>DRL software; network simulation</x:v>
      </x:c>
      <x:c r="S14" s="17" t="str">
        <x:v>Network-recovery simulation</x:v>
      </x:c>
      <x:c r="T14" s="17" t="str">
        <x:v>Verified from Optica publisher source</x:v>
      </x:c>
      <x:c r="U14" s="17" t="str">
        <x:v>Method verified; original &gt;90% throughput claim not retained</x:v>
      </x:c>
      <x:c r="V14" s="17" t="str">
        <x:v>Not reported</x:v>
      </x:c>
      <x:c r="W14" s="17" t="str">
        <x:v>https://opg.optica.org/jocn/abstract.cfm?uri=jocn-16-9-E36</x:v>
      </x:c>
      <x:c r="X14" s="17" t="str">
        <x:v>10.1364/JOCN.526014</x:v>
      </x:c>
      <x:c r="Y14" s="17" t="str">
        <x:v>Publisher abstract/official manuscript</x:v>
      </x:c>
      <x:c r="Z14" s="17" t="str">
        <x:v>2026-07-17</x:v>
      </x:c>
      <x:c r="AA14" s="17" t="str">
        <x:v>A DRL framework chooses staged repair actions for progressive recovery of QKD networks after failures.</x:v>
      </x:c>
      <x:c r="AB14" s="17" t="str">
        <x:v>Comparative recovery results are reported; the workbook's &gt;90% throughput statement is held because it was not verified in this audit pass.</x:v>
      </x:c>
      <x:c r="AC14" s="17" t="str">
        <x:v>Recovery-specific simulation, not baseline routing hardware; no decision-latency measurement.</x:v>
      </x:c>
      <x:c r="AD14" s="17" t="str">
        <x:v>Class C failure-recovery counterpart.</x:v>
      </x:c>
      <x:c r="AE14" s="17" t="str">
        <x:v>Verified</x:v>
      </x:c>
      <x:c r="AF14" s="17" t="str"/>
      <x:c r="AG14" s="17" t="str"/>
    </x:row>
    <x:row r="15">
      <x:c r="A15" s="17" t="str">
        <x:v>P012</x:v>
      </x:c>
      <x:c r="B15" s="17" t="str">
        <x:v>15</x:v>
      </x:c>
      <x:c r="C15" s="17" t="str">
        <x:v>12</x:v>
      </x:c>
      <x:c r="D15" s="17" t="str">
        <x:v>QKD Routing Algorithms</x:v>
      </x:c>
      <x:c r="E15" s="17" t="str">
        <x:v>Routing, Channel, Key-Rate, and Time-Slot Assignment for QKD in Optical Networks</x:v>
      </x:c>
      <x:c r="F15" s="17" t="str">
        <x:v>Zhang, Q.; Ayoub, O.; Gatto, A.; Wu, J.; Musumeci, F.; Tornatore, M.</x:v>
      </x:c>
      <x:c r="G15" s="17" t="str">
        <x:v>2023</x:v>
      </x:c>
      <x:c r="H15" s="17" t="str">
        <x:v>IEEE Transactions on Network and Service Management, 21(1), 148–160</x:v>
      </x:c>
      <x:c r="I15" s="17" t="str">
        <x:v>Joint RCKTA problem formulation as ILP; considers routing, wavelength channel, key-rate, and time-slot simultaneously</x:v>
      </x:c>
      <x:c r="J15" s="17" t="str">
        <x:v>Near-optimal joint assignment; significant improvement over separate optimization; validated on COST239 topology</x:v>
      </x:c>
      <x:c r="K15" s="17" t="str">
        <x:v>ILP: NP-hard; offline solver; cannot handle real-time key depletion; no fidelity-decay model</x:v>
      </x:c>
      <x:c r="L15" s="17" t="str">
        <x:v>Multi-dimensional QKD resource allocation framework. QFlow's SKAG captures similar dimensions but in real-time hardware.</x:v>
      </x:c>
      <x:c r="M15" s="17" t="str">
        <x:v>Routing, Channel, Key-Rate, and Time-Slot Assignment for QKD in Optical Networks</x:v>
      </x:c>
      <x:c r="N15" s="17" t="str">
        <x:v>Qiaolun Zhang; Omran Ayoub; Alberto Gatto; Jun Wu; Francesco Musumeci; Massimo Tornatore</x:v>
      </x:c>
      <x:c r="O15" s="17" t="str">
        <x:v>2024</x:v>
      </x:c>
      <x:c r="P15" s="17" t="str">
        <x:v>IEEE Transactions on Network and Service Management 21(1), 148-160</x:v>
      </x:c>
      <x:c r="Q15" s="17" t="str">
        <x:v>C</x:v>
      </x:c>
      <x:c r="R15" s="17" t="str">
        <x:v>MILP and heuristic algorithms; numerical simulation</x:v>
      </x:c>
      <x:c r="S15" s="17" t="str">
        <x:v>Algorithmic/numerical evaluation</x:v>
      </x:c>
      <x:c r="T15" s="17" t="str">
        <x:v>Verified from IEEE/institutional manuscript</x:v>
      </x:c>
      <x:c r="U15" s="17" t="str">
        <x:v>Problem formulation and evaluation scope verified</x:v>
      </x:c>
      <x:c r="V15" s="17" t="str">
        <x:v>Not reported</x:v>
      </x:c>
      <x:c r="W15" s="17" t="str">
        <x:v>https://ieeexplore.ieee.org/document/10168191</x:v>
      </x:c>
      <x:c r="X15" s="17" t="str">
        <x:v>10.1109/TNSM.2023.3290920</x:v>
      </x:c>
      <x:c r="Y15" s="17" t="str">
        <x:v>Publisher record and author manuscript</x:v>
      </x:c>
      <x:c r="Z15" s="17" t="str">
        <x:v>2026-07-17</x:v>
      </x:c>
      <x:c r="AA15" s="17" t="str">
        <x:v>The RCKTA problem is formulated for combinations of optical bypass and trusted relay, with MILP and scalable solution methods.</x:v>
      </x:c>
      <x:c r="AB15" s="17" t="str">
        <x:v>The paper establishes NP-hardness and evaluates the proposed methods; no unsupported cross-paper numeric summary is retained.</x:v>
      </x:c>
      <x:c r="AC15" s="17" t="str">
        <x:v>Numerical network study; no FPGA routing datapath or measured decision latency.</x:v>
      </x:c>
      <x:c r="AD15" s="17" t="str">
        <x:v>Class C multi-resource QKD-routing counterpart.</x:v>
      </x:c>
      <x:c r="AE15" s="17" t="str">
        <x:v>Verified</x:v>
      </x:c>
      <x:c r="AF15" s="17" t="str"/>
      <x:c r="AG15" s="17" t="str">
        <x:v>The final volume is 2024 although the DOI/early-access record is from 2023.</x:v>
      </x:c>
    </x:row>
    <x:row r="16">
      <x:c r="A16" s="17" t="str">
        <x:v>P013</x:v>
      </x:c>
      <x:c r="B16" s="17" t="str">
        <x:v>17</x:v>
      </x:c>
      <x:c r="C16" s="17" t="str">
        <x:v>13</x:v>
      </x:c>
      <x:c r="D16" s="17" t="str">
        <x:v>SDN-QKD Networks</x:v>
      </x:c>
      <x:c r="E16" s="17" t="str">
        <x:v>MadQCI: A Heterogeneous and Scalable SDN-QKD Network Deployed in Production Facilities</x:v>
      </x:c>
      <x:c r="F16" s="17" t="str">
        <x:v>Martin, V.; Brito, J.P.; Ortíz, L. et al. (EU Consortium)</x:v>
      </x:c>
      <x:c r="G16" s="17" t="str">
        <x:v>2024</x:v>
      </x:c>
      <x:c r="H16" s="17" t="str">
        <x:v>npj Quantum Information, 10(1), Article 80, Nature</x:v>
      </x:c>
      <x:c r="I16" s="17" t="str">
        <x:v>SDN-controlled multi-vendor QKD network (28 QKD modules, 9 nodes, 45 links); FPGA-based SoC for signal processing; ETSI QKD 015 standard</x:v>
      </x:c>
      <x:c r="J16" s="17" t="str">
        <x:v>Supports 1,230 key requests/s; 0.15ms latency for 5G use case; 500 Mbps encrypted throughput for e-health; production-grade deployment</x:v>
      </x:c>
      <x:c r="K16" s="17" t="str">
        <x:v>FPGA used only for physical-layer signal processing (DSP, error correction); routing decisions remain in SDN controller (software); no fidelity-decay aware routing</x:v>
      </x:c>
      <x:c r="L16" s="17" t="str">
        <x:v>CRITICAL REFERENCE. Demonstrates real-world SDN-QKD viability. QFlow addresses exactly the SDN controller bottleneck: moves routing to hardware dataplane.</x:v>
      </x:c>
      <x:c r="M16" s="17" t="str">
        <x:v>MadQCI: a heterogeneous and scalable SDN-QKD network deployed in production facilities</x:v>
      </x:c>
      <x:c r="N16" s="17" t="str">
        <x:v>Vicente Martin et al.</x:v>
      </x:c>
      <x:c r="O16" s="17" t="str">
        <x:v>2024</x:v>
      </x:c>
      <x:c r="P16" s="17" t="str">
        <x:v>npj Quantum Information 10, Article 80</x:v>
      </x:c>
      <x:c r="Q16" s="17" t="str">
        <x:v>D</x:v>
      </x:c>
      <x:c r="R16" s="17" t="str">
        <x:v>Physical multi-vendor SDN-QKD testbed; mixed hardware/software</x:v>
      </x:c>
      <x:c r="S16" s="17" t="str">
        <x:v>Physical network testbed</x:v>
      </x:c>
      <x:c r="T16" s="17" t="str">
        <x:v>Verified from Nature full text</x:v>
      </x:c>
      <x:c r="U16" s="17" t="str">
        <x:v>Deployment scope verified; workbook's 1,230 requests/s and 0.15 ms claims held</x:v>
      </x:c>
      <x:c r="V16" s="17" t="str">
        <x:v>No routing-controller latency verified in this pass</x:v>
      </x:c>
      <x:c r="W16" s="17" t="str">
        <x:v>https://www.nature.com/articles/s41534-024-00873-2</x:v>
      </x:c>
      <x:c r="X16" s="17" t="str">
        <x:v>10.1038/s41534-024-00873-2</x:v>
      </x:c>
      <x:c r="Y16" s="17" t="str">
        <x:v>Publisher full text</x:v>
      </x:c>
      <x:c r="Z16" s="17" t="str">
        <x:v>2026-07-17</x:v>
      </x:c>
      <x:c r="AA16" s="17" t="str">
        <x:v>MadQCI demonstrates a heterogeneous, disaggregated SDN-QKD network in production facilities with commercial traffic.</x:v>
      </x:c>
      <x:c r="AB16" s="17" t="str">
        <x:v>The verified source supports a multi-vendor, multi-tenant physical deployment over nearly three years; the workbook's specific request/latency values are not retained without exact source mapping.</x:v>
      </x:c>
      <x:c r="AC16" s="17" t="str">
        <x:v>Component and control functions span multiple layers; it is not a same-function FPGA routing baseline for QFlow.</x:v>
      </x:c>
      <x:c r="AD16" s="17" t="str">
        <x:v>Class D deployed-system context only; do not claim it proves an SDN routing bottleneck or millisecond routing latency.</x:v>
      </x:c>
      <x:c r="AE16" s="17" t="str">
        <x:v>Verified</x:v>
      </x:c>
      <x:c r="AF16" s="17" t="str"/>
      <x:c r="AG16" s="17" t="str"/>
    </x:row>
    <x:row r="17">
      <x:c r="A17" s="17" t="str">
        <x:v>P014</x:v>
      </x:c>
      <x:c r="B17" s="17" t="str">
        <x:v>18</x:v>
      </x:c>
      <x:c r="C17" s="17" t="str">
        <x:v>14</x:v>
      </x:c>
      <x:c r="D17" s="17" t="str">
        <x:v>SDN-QKD Networks</x:v>
      </x:c>
      <x:c r="E17" s="17" t="str">
        <x:v>The Evolution of Quantum Key Distribution Networks: On the Road to the Qinternet</x:v>
      </x:c>
      <x:c r="F17" s="17" t="str">
        <x:v>Cao, Y.; Zhao, Y.; Wang, Q.; Zhang, J.; Ng, S.X.; Hanzo, L.</x:v>
      </x:c>
      <x:c r="G17" s="17" t="str">
        <x:v>2022</x:v>
      </x:c>
      <x:c r="H17" s="17" t="str">
        <x:v>IEEE Communications Surveys &amp; Tutorials, 24(2), 839–894</x:v>
      </x:c>
      <x:c r="I17" s="17" t="str">
        <x:v>Comprehensive survey of QKD network evolution: key management, routing protocols, SDN integration, trusted-node architectures, future quantum internet</x:v>
      </x:c>
      <x:c r="J17" s="17" t="str">
        <x:v>Identifies key management as central challenge; SDN as dominant paradigm; routing latency bottleneck at SDN controller</x:v>
      </x:c>
      <x:c r="K17" s="17" t="str">
        <x:v>Survey only; identifies hardware acceleration gap but provides no solution; ms-latency SDN assumed throughout</x:v>
      </x:c>
      <x:c r="L17" s="17" t="str">
        <x:v>Foundational reference for QKD network architecture. Confirms SDN controller latency bottleneck that QFlow solves.</x:v>
      </x:c>
      <x:c r="M17" s="17" t="str">
        <x:v>The Evolution of Quantum Key Distribution Networks: On the Road to the Qinternet</x:v>
      </x:c>
      <x:c r="N17" s="17" t="str">
        <x:v>Yuan Cao; Yongli Zhao; Qin Wang; Jie Zhang; Soon Xin Ng; Lajos Hanzo</x:v>
      </x:c>
      <x:c r="O17" s="17" t="str">
        <x:v>2022</x:v>
      </x:c>
      <x:c r="P17" s="17" t="str">
        <x:v>IEEE Communications Surveys &amp; Tutorials 24(2), 839-894</x:v>
      </x:c>
      <x:c r="Q17" s="17" t="str">
        <x:v>C</x:v>
      </x:c>
      <x:c r="R17" s="17" t="str">
        <x:v>Survey/review</x:v>
      </x:c>
      <x:c r="S17" s="17" t="str">
        <x:v>Survey synthesis</x:v>
      </x:c>
      <x:c r="T17" s="17" t="str">
        <x:v>Verified from IEEE/institutional manuscript</x:v>
      </x:c>
      <x:c r="U17" s="17" t="str">
        <x:v>Bibliographic identity and survey scope verified</x:v>
      </x:c>
      <x:c r="V17" s="17" t="str">
        <x:v>Not reported as a universal SDN-routing measurement</x:v>
      </x:c>
      <x:c r="W17" s="17" t="str">
        <x:v>https://ieeexplore.ieee.org/document/9684555</x:v>
      </x:c>
      <x:c r="X17" s="17" t="str">
        <x:v>10.1109/COMST.2022.3144219</x:v>
      </x:c>
      <x:c r="Y17" s="17" t="str">
        <x:v>Publisher record and institutional manuscript</x:v>
      </x:c>
      <x:c r="Z17" s="17" t="str">
        <x:v>2026-07-17</x:v>
      </x:c>
      <x:c r="AA17" s="17" t="str">
        <x:v>Comprehensive survey of QKD-network architecture, protocols, management, routing and evolution.</x:v>
      </x:c>
      <x:c r="AB17" s="17" t="str">
        <x:v>Used as background synthesis; no single universal routing-latency number is retained.</x:v>
      </x:c>
      <x:c r="AC17" s="17" t="str">
        <x:v>Survey, not a hardware implementation or direct performance baseline.</x:v>
      </x:c>
      <x:c r="AD17" s="17" t="str">
        <x:v>Class C architecture/background source.</x:v>
      </x:c>
      <x:c r="AE17" s="17" t="str">
        <x:v>Verified</x:v>
      </x:c>
      <x:c r="AF17" s="17" t="str"/>
      <x:c r="AG17" s="17" t="str"/>
    </x:row>
    <x:row r="18">
      <x:c r="A18" s="17" t="str">
        <x:v>P015</x:v>
      </x:c>
      <x:c r="B18" s="17" t="str">
        <x:v>19</x:v>
      </x:c>
      <x:c r="C18" s="17" t="str">
        <x:v>15</x:v>
      </x:c>
      <x:c r="D18" s="17" t="str">
        <x:v>SDN-QKD Networks</x:v>
      </x:c>
      <x:c r="E18" s="17" t="str">
        <x:v>Implementation of Carrier-Grade Quantum Communication Networks over 10,000 km</x:v>
      </x:c>
      <x:c r="F18" s="17" t="str">
        <x:v>Chinese Quantum Network Consortium</x:v>
      </x:c>
      <x:c r="G18" s="17" t="str">
        <x:v>2025</x:v>
      </x:c>
      <x:c r="H18" s="17" t="str">
        <x:v>npj Quantum Information, Nature</x:v>
      </x:c>
      <x:c r="I18" s="17" t="str">
        <x:v>China Quantum Communication Network (CN-QCN): 145 fiber backbone nodes, 20 metro networks, 17 provinces; hybrid SDN + trusted relay architecture</x:v>
      </x:c>
      <x:c r="J18" s="17" t="str">
        <x:v>World's largest QKD network; 10,000km span; production operation; integrates satellite (Micius) and fiber links</x:v>
      </x:c>
      <x:c r="K18" s="17" t="str">
        <x:v>Entire routing infrastructure is software-based SDN; key pool management at software layer; no hardware routing acceleration</x:v>
      </x:c>
      <x:c r="L18" s="17" t="str">
        <x:v>Demonstrates scale of QKD deployment where hardware routing acceleration would have transformative impact.</x:v>
      </x:c>
      <x:c r="M18" s="17" t="str">
        <x:v>Implementation of carrier-grade quantum communication networks over 10000 km</x:v>
      </x:c>
      <x:c r="N18" s="17" t="str">
        <x:v>Hao-Ze Chen; Ming-Han Li; Yu Zhou Wang; Zhen-Geng Zhao; Cheng Ye; Fei Long Li; Zhu Chen; Sheng-Long Han; Bao Tang; Ya Jun Miao; et al.</x:v>
      </x:c>
      <x:c r="O18" s="17" t="str">
        <x:v>2025</x:v>
      </x:c>
      <x:c r="P18" s="17" t="str">
        <x:v>npj Quantum Information 11, Article 137</x:v>
      </x:c>
      <x:c r="Q18" s="17" t="str">
        <x:v>C</x:v>
      </x:c>
      <x:c r="R18" s="17" t="str">
        <x:v>Physical carrier-grade QKD network</x:v>
      </x:c>
      <x:c r="S18" s="17" t="str">
        <x:v>Physical network deployment</x:v>
      </x:c>
      <x:c r="T18" s="17" t="str">
        <x:v>Verified from Nature full text</x:v>
      </x:c>
      <x:c r="U18" s="17" t="str">
        <x:v>Deployment scale verified</x:v>
      </x:c>
      <x:c r="V18" s="17" t="str">
        <x:v>No routing-decision latency verified</x:v>
      </x:c>
      <x:c r="W18" s="17" t="str">
        <x:v>https://www.nature.com/articles/s41534-025-01089-8</x:v>
      </x:c>
      <x:c r="X18" s="17" t="str">
        <x:v>10.1038/s41534-025-01089-8</x:v>
      </x:c>
      <x:c r="Y18" s="17" t="str">
        <x:v>Publisher full text</x:v>
      </x:c>
      <x:c r="Z18" s="17" t="str">
        <x:v>2026-07-17</x:v>
      </x:c>
      <x:c r="AA18" s="17" t="str">
        <x:v>The paper reports the operational CN-QCN trusted-relay network.</x:v>
      </x:c>
      <x:c r="AB18" s="17" t="str">
        <x:v>Verified deployment scale: over 10,000 km, 145 fiber-backbone nodes, 20 metropolitan networks, 17 provinces and 80 cities.</x:v>
      </x:c>
      <x:c r="AC18" s="17" t="str">
        <x:v>Deployment context does not establish that the entire routing infrastructure is software-based or provide a QFlow-equivalent hardware baseline.</x:v>
      </x:c>
      <x:c r="AD18" s="17" t="str">
        <x:v>Class C real-world deployment motivation; no raw timing comparison.</x:v>
      </x:c>
      <x:c r="AE18" s="17" t="str">
        <x:v>Verified</x:v>
      </x:c>
      <x:c r="AF18" s="17" t="str"/>
      <x:c r="AG18" s="17" t="str"/>
    </x:row>
    <x:row r="19">
      <x:c r="A19" s="17" t="str">
        <x:v>P016</x:v>
      </x:c>
      <x:c r="B19" s="17" t="str">
        <x:v>20</x:v>
      </x:c>
      <x:c r="C19" s="17" t="str">
        <x:v>16</x:v>
      </x:c>
      <x:c r="D19" s="17" t="str">
        <x:v>SDN-QKD Networks</x:v>
      </x:c>
      <x:c r="E19" s="17" t="str">
        <x:v>A Zero-Trust Spatiotemporal Diversification Framework for Multipath QKD</x:v>
      </x:c>
      <x:c r="F19" s="17" t="str">
        <x:v>Multiple authors</x:v>
      </x:c>
      <x:c r="G19" s="17" t="str">
        <x:v>2025</x:v>
      </x:c>
      <x:c r="H19" s="17" t="str">
        <x:v>Big Data and Cognitive Computing (MDPI), 9(4), 76</x:v>
      </x:c>
      <x:c r="I19" s="17" t="str">
        <x:v>Dynamic route shuffling for zero-trust security; multipath multi-key distribution; improved Yen's algorithm + greedy selection</x:v>
      </x:c>
      <x:c r="J19" s="17" t="str">
        <x:v>Enhanced security against compromised relay attacks; feasibility of zero-trust operation; simulation on 8-node network</x:v>
      </x:c>
      <x:c r="K19" s="17" t="str">
        <x:v>Software routing; no fidelity awareness; zero-trust model adds latency overhead; SDN controller dependent</x:v>
      </x:c>
      <x:c r="L19" s="17" t="str">
        <x:v>Security-focused QKD routing. QFlow adds hardware speed to comparable security-aware routing decisions.</x:v>
      </x:c>
      <x:c r="M19" s="17" t="str">
        <x:v>A Quantum Key Distribution Routing Scheme for a Zero-Trust QKD Network System: A Moving Target Defense Approach</x:v>
      </x:c>
      <x:c r="N19" s="17" t="str">
        <x:v>Esraa M. Ghourab; Mohamed Azab; Denis Gračanin</x:v>
      </x:c>
      <x:c r="O19" s="17" t="str">
        <x:v>2025</x:v>
      </x:c>
      <x:c r="P19" s="17" t="str">
        <x:v>Big Data and Cognitive Computing 9(4), Article 76</x:v>
      </x:c>
      <x:c r="Q19" s="17" t="str">
        <x:v>C</x:v>
      </x:c>
      <x:c r="R19" s="17" t="str">
        <x:v>Software framework; network simulation</x:v>
      </x:c>
      <x:c r="S19" s="17" t="str">
        <x:v>Network simulation</x:v>
      </x:c>
      <x:c r="T19" s="17" t="str">
        <x:v>Verified from publisher full text</x:v>
      </x:c>
      <x:c r="U19" s="17" t="str">
        <x:v>Reported security/success improvements verified from abstract</x:v>
      </x:c>
      <x:c r="V19" s="17" t="str">
        <x:v>Not reported for routing-decision runtime</x:v>
      </x:c>
      <x:c r="W19" s="17" t="str">
        <x:v>https://www.mdpi.com/2504-2289/9/4/76</x:v>
      </x:c>
      <x:c r="X19" s="17" t="str">
        <x:v>10.3390/bdcc9040076</x:v>
      </x:c>
      <x:c r="Y19" s="17" t="str">
        <x:v>Publisher full text</x:v>
      </x:c>
      <x:c r="Z19" s="17" t="str">
        <x:v>2026-07-17</x:v>
      </x:c>
      <x:c r="AA19" s="17" t="str">
        <x:v>A moving-target-defense framework dynamically shuffles routes for multipath/multi-key distribution under a zero-trust relay model.</x:v>
      </x:c>
      <x:c r="AB19" s="17" t="str">
        <x:v>The abstract reports an 86.04% improvement in defense against interception and nearly doubled key-distribution success versus traditional methods.</x:v>
      </x:c>
      <x:c r="AC19" s="17" t="str">
        <x:v>Simulation/framework evaluation; no FPGA routing hardware or measured decision runtime.</x:v>
      </x:c>
      <x:c r="AD19" s="17" t="str">
        <x:v>Class C security-focused QKD-routing counterpart.</x:v>
      </x:c>
      <x:c r="AE19" s="17" t="str">
        <x:v>Verified</x:v>
      </x:c>
      <x:c r="AF19" s="17" t="str"/>
      <x:c r="AG19" s="17" t="str">
        <x:v>Original workbook used a generic 'multiple authors' entry and incomplete title.</x:v>
      </x:c>
    </x:row>
    <x:row r="20">
      <x:c r="A20" s="17" t="str">
        <x:v>P017</x:v>
      </x:c>
      <x:c r="B20" s="17" t="str">
        <x:v>22</x:v>
      </x:c>
      <x:c r="C20" s="17" t="str">
        <x:v>17</x:v>
      </x:c>
      <x:c r="D20" s="17" t="str">
        <x:v>FPGA Acceleration for Quantum</x:v>
      </x:c>
      <x:c r="E20" s="17" t="str">
        <x:v>Efficient FPGA Implementation of Polar Codes-Based Information Reconciliation for QKD</x:v>
      </x:c>
      <x:c r="F20" s="17" t="str">
        <x:v>Liao, L.; Wu, X.; Chen, Y. et al. (Sun Yat-sen Univ.)</x:v>
      </x:c>
      <x:c r="G20" s="17" t="str">
        <x:v>2025</x:v>
      </x:c>
      <x:c r="H20" s="17" t="str">
        <x:v>Scientific Reports, 15, 36253, Nature</x:v>
      </x:c>
      <x:c r="I20" s="17" t="str">
        <x:v>Parallel successive-cancellation decoder for polar codes on cost-effective FPGA; pipeline architecture; hardware accelerator for DV-QKD post-processing</x:v>
      </x:c>
      <x:c r="J20" s="17" t="str">
        <x:v>Achieves 35 Mbps throughput at 200 MHz; 10–20× improvement over CPU; &lt;1W power consumption; resource utilization &lt;40% on Artix-7</x:v>
      </x:c>
      <x:c r="K20" s="17" t="str">
        <x:v>Physical layer only (error correction); no routing capability; no fidelity tracking; cannot make path selection decisions</x:v>
      </x:c>
      <x:c r="L20" s="17" t="str">
        <x:v>MOST CITED FPGA-QKD paper. Directly cited in QFlow plan. Shows FPGA for QKD physical layer is mature — QFlow fills the routing layer gap.</x:v>
      </x:c>
      <x:c r="M20" s="17" t="str">
        <x:v>Efficient FPGA implementation of polar codes-based information reconciliation for quantum key distribution</x:v>
      </x:c>
      <x:c r="N20" s="17" t="str">
        <x:v>Lianye Liao; Xinyi Wu; Ye Chen; Xiaodong Fan; Zhiyu Tian; Jinquan Huang; Tonglin Mu; Junran Guo; Minjie Liu; Bo Liu; Shihai Sun</x:v>
      </x:c>
      <x:c r="O20" s="17" t="str">
        <x:v>2025</x:v>
      </x:c>
      <x:c r="P20" s="17" t="str">
        <x:v>Scientific Reports 15, Article 36253</x:v>
      </x:c>
      <x:c r="Q20" s="17" t="str">
        <x:v>D</x:v>
      </x:c>
      <x:c r="R20" s="17" t="str">
        <x:v>Xilinx Kintex UltraScale AXKU040 FPGA</x:v>
      </x:c>
      <x:c r="S20" s="17" t="str">
        <x:v>Measured FPGA component</x:v>
      </x:c>
      <x:c r="T20" s="17" t="str">
        <x:v>Verified from publisher full text</x:v>
      </x:c>
      <x:c r="U20" s="17" t="str">
        <x:v>35.33 Mbps result and device verified</x:v>
      </x:c>
      <x:c r="V20" s="17" t="str">
        <x:v>Routing-decision latency not applicable</x:v>
      </x:c>
      <x:c r="W20" s="17" t="str">
        <x:v>https://www.nature.com/articles/s41598-025-20146-y</x:v>
      </x:c>
      <x:c r="X20" s="17" t="str">
        <x:v>10.1038/s41598-025-20146-y</x:v>
      </x:c>
      <x:c r="Y20" s="17" t="str">
        <x:v>Publisher full text</x:v>
      </x:c>
      <x:c r="Z20" s="17" t="str">
        <x:v>2026-07-17</x:v>
      </x:c>
      <x:c r="AA20" s="17" t="str">
        <x:v>A pipelined, fully unfolded SCL/CRC hardware accelerator performs polar-code information reconciliation for DV-QKD.</x:v>
      </x:c>
      <x:c r="AB20" s="17" t="str">
        <x:v>The FPGA implementation reports 35.33 Mbps information-reconciliation throughput for block length 2^20.</x:v>
      </x:c>
      <x:c r="AC20" s="17" t="str">
        <x:v>This is post-processing, not route selection. The workbook's Artix-7, 200 MHz, 10-20x CPU, below-1-W and below-40% resource claims are not supported by the verified source.</x:v>
      </x:c>
      <x:c r="AD20" s="17" t="str">
        <x:v>Class D FPGA-QKD component context only; not a same-function routing baseline.</x:v>
      </x:c>
      <x:c r="AE20" s="17" t="str">
        <x:v>Verified with claim restriction</x:v>
      </x:c>
      <x:c r="AF20" s="17" t="str">
        <x:v>Unsupported device, clock, power, resource and speedup statements removed.</x:v>
      </x:c>
      <x:c r="AG20" s="17" t="str"/>
    </x:row>
    <x:row r="21">
      <x:c r="A21" s="17" t="str">
        <x:v>P018</x:v>
      </x:c>
      <x:c r="B21" s="17" t="str">
        <x:v>23</x:v>
      </x:c>
      <x:c r="C21" s="17" t="str">
        <x:v>18</x:v>
      </x:c>
      <x:c r="D21" s="17" t="str">
        <x:v>FPGA Acceleration for Quantum</x:v>
      </x:c>
      <x:c r="E21" s="17" t="str">
        <x:v>FPGA-Based Implementation of Multidimensional Reconciliation Encoding in QKD</x:v>
      </x:c>
      <x:c r="F21" s="17" t="str">
        <x:v>Lu, Q.; Lu, Z.; Yang, H.; Yang, S.; Li, Y.</x:v>
      </x:c>
      <x:c r="G21" s="17" t="str">
        <x:v>2023</x:v>
      </x:c>
      <x:c r="H21" s="17" t="str">
        <x:v>Entropy (MDPI), 25(1), 80</x:v>
      </x:c>
      <x:c r="I21" s="17" t="str">
        <x:v>Circulatory pipeline structure for 8D reconciliation encoding on Xilinx Virtex-7; structural multiplexing; simplified parity-check matrix algorithm</x:v>
      </x:c>
      <x:c r="J21" s="17" t="str">
        <x:v>Variable throughput from 0.5–4 Gbps depending on FPGA frequency; 40% lower latency than prior implementations</x:v>
      </x:c>
      <x:c r="K21" s="17" t="str">
        <x:v>CV-QKD physical layer only; encoding only; no routing; no key management; specific to Gaussian modulation</x:v>
      </x:c>
      <x:c r="L21" s="17" t="str">
        <x:v>FPGA implementation for QKD physical layer. Demonstrates FPGA feasibility for QKD. QFlow targets the higher-layer routing problem.</x:v>
      </x:c>
      <x:c r="M21" s="17" t="str">
        <x:v>FPGA-Based Implementation of Multidimensional Reconciliation Encoding in Quantum Key Distribution</x:v>
      </x:c>
      <x:c r="N21" s="17" t="str">
        <x:v>Qing Lu; Zhenguo Lu; Hongzhao Yang; Shen-Shen Yang; Yongmin Li</x:v>
      </x:c>
      <x:c r="O21" s="17" t="str">
        <x:v>2023</x:v>
      </x:c>
      <x:c r="P21" s="17" t="str">
        <x:v>Entropy 25(1), Article 80</x:v>
      </x:c>
      <x:c r="Q21" s="17" t="str">
        <x:v>D</x:v>
      </x:c>
      <x:c r="R21" s="17" t="str">
        <x:v>Xilinx Virtex-7 FPGA</x:v>
      </x:c>
      <x:c r="S21" s="17" t="str">
        <x:v>FPGA implementation and simulation results</x:v>
      </x:c>
      <x:c r="T21" s="17" t="str">
        <x:v>Verified from publisher full text</x:v>
      </x:c>
      <x:c r="U21" s="17" t="str">
        <x:v>Maximum throughput verified</x:v>
      </x:c>
      <x:c r="V21" s="17" t="str">
        <x:v>Routing-decision latency not applicable</x:v>
      </x:c>
      <x:c r="W21" s="17" t="str">
        <x:v>https://www.mdpi.com/1099-4300/25/1/80</x:v>
      </x:c>
      <x:c r="X21" s="17" t="str">
        <x:v>10.3390/e25010080</x:v>
      </x:c>
      <x:c r="Y21" s="17" t="str">
        <x:v>Publisher full text</x:v>
      </x:c>
      <x:c r="Z21" s="17" t="str">
        <x:v>2026-07-17</x:v>
      </x:c>
      <x:c r="AA21" s="17" t="str">
        <x:v>A variable-throughput, circulatory FPGA architecture accelerates eight-dimensional reconciliation encoding for CV-QKD.</x:v>
      </x:c>
      <x:c r="AB21" s="17" t="str">
        <x:v>The verified maximum throughput is 4.88 M symbols/s on a Virtex-7 FPGA; the CPU comparison reports 0.063 M symbols/s.</x:v>
      </x:c>
      <x:c r="AC21" s="17" t="str">
        <x:v>Encoding/post-processing only; no network routing. The workbook's 0.5-4 Gbps and 40% latency-reduction claims are not retained.</x:v>
      </x:c>
      <x:c r="AD21" s="17" t="str">
        <x:v>Class D component context for FPGA feasibility, not QFlow routing superiority.</x:v>
      </x:c>
      <x:c r="AE21" s="17" t="str">
        <x:v>Verified with claim restriction</x:v>
      </x:c>
      <x:c r="AF21" s="17" t="str">
        <x:v>Original throughput units and latency comparison were unsupported.</x:v>
      </x:c>
      <x:c r="AG21" s="17" t="str"/>
    </x:row>
    <x:row r="22">
      <x:c r="A22" s="17" t="str">
        <x:v>P019</x:v>
      </x:c>
      <x:c r="B22" s="17" t="str">
        <x:v>24</x:v>
      </x:c>
      <x:c r="C22" s="17" t="str">
        <x:v>19</x:v>
      </x:c>
      <x:c r="D22" s="17" t="str">
        <x:v>FPGA Acceleration for Quantum</x:v>
      </x:c>
      <x:c r="E22" s="17" t="str">
        <x:v>Scalable QKD Postprocessing System with Reconfigurable Hardware Accelerator</x:v>
      </x:c>
      <x:c r="F22" s="17" t="str">
        <x:v>Venkatachalam, N.; Shingala, F.P. et al.</x:v>
      </x:c>
      <x:c r="G22" s="17" t="str">
        <x:v>2023</x:v>
      </x:c>
      <x:c r="H22" s="17" t="str">
        <x:v>IEEE Transactions on Quantum Engineering, 4, 1–14</x:v>
      </x:c>
      <x:c r="I22" s="17" t="str">
        <x:v>Reconfigurable FPGA accelerator for QKD post-processing pipeline: sifting, error correction, privacy amplification; AXI-based configuration</x:v>
      </x:c>
      <x:c r="J22" s="17" t="str">
        <x:v>Scalable to multiple QKD device rates; 3.5× speedup over CPU; supports BB84, E91 protocols</x:v>
      </x:c>
      <x:c r="K22" s="17" t="str">
        <x:v>Post-processing acceleration only; no routing or network-layer decisions; no path selection; no fidelity tracking</x:v>
      </x:c>
      <x:c r="L22" s="17" t="str">
        <x:v>IEEE TQE paper. Establishes AXI-based FPGA architecture for QKD (similar to QFlow's AXI-Lite config). Gap: no routing.</x:v>
      </x:c>
      <x:c r="M22" s="17" t="str">
        <x:v>Scalable QKD Postprocessing System With Reconfigurable Hardware Accelerator</x:v>
      </x:c>
      <x:c r="N22" s="17" t="str">
        <x:v>Natarajan Venkatachalam; Foram P. Shingala; Selvagangai C.; Hema Priya S.; Dillibabu S.; Pooja Chandravanshi; Ravindra P. Singh</x:v>
      </x:c>
      <x:c r="O22" s="17" t="str">
        <x:v>2023</x:v>
      </x:c>
      <x:c r="P22" s="17" t="str">
        <x:v>IEEE Transactions on Quantum Engineering 4, Article 4100914</x:v>
      </x:c>
      <x:c r="Q22" s="17" t="str">
        <x:v>D</x:v>
      </x:c>
      <x:c r="R22" s="17" t="str">
        <x:v>FPGA key-distillation accelerator</x:v>
      </x:c>
      <x:c r="S22" s="17" t="str">
        <x:v>Measured FPGA component</x:v>
      </x:c>
      <x:c r="T22" s="17" t="str">
        <x:v>Verified from IEEE paper</x:v>
      </x:c>
      <x:c r="U22" s="17" t="str">
        <x:v>Architecture scope verified; 3.5x claim not retained</x:v>
      </x:c>
      <x:c r="V22" s="17" t="str">
        <x:v>Routing-decision latency not applicable</x:v>
      </x:c>
      <x:c r="W22" s="17" t="str">
        <x:v>https://ieeexplore.ieee.org/document/10288091</x:v>
      </x:c>
      <x:c r="X22" s="17" t="str">
        <x:v>10.1109/TQE.2023.3326093</x:v>
      </x:c>
      <x:c r="Y22" s="17" t="str">
        <x:v>IEEE publisher paper</x:v>
      </x:c>
      <x:c r="Z22" s="17" t="str">
        <x:v>2026-07-17</x:v>
      </x:c>
      <x:c r="AA22" s="17" t="str">
        <x:v>A MapReduce-inspired FPGA key-distillation architecture supports dynamic error correction, authentication and encryption for multiple DV-QKD protocols.</x:v>
      </x:c>
      <x:c r="AB22" s="17" t="str">
        <x:v>The paper reports experimental scalability and speedup results; the workbook's generic 3.5x CPU value is held because its exact boundary was not verified in this pass.</x:v>
      </x:c>
      <x:c r="AC22" s="17" t="str">
        <x:v>QKD post-processing only; it does not select network paths or track routing fidelity.</x:v>
      </x:c>
      <x:c r="AD22" s="17" t="str">
        <x:v>Class D FPGA-QKD component and architectural context.</x:v>
      </x:c>
      <x:c r="AE22" s="17" t="str">
        <x:v>Verified with claim restriction</x:v>
      </x:c>
      <x:c r="AF22" s="17" t="str">
        <x:v>Exact 3.5x claim requires table-level mapping before reuse.</x:v>
      </x:c>
      <x:c r="AG22" s="17" t="str"/>
    </x:row>
    <x:row r="23">
      <x:c r="A23" s="17" t="str">
        <x:v>P020</x:v>
      </x:c>
      <x:c r="B23" s="17" t="str">
        <x:v>25</x:v>
      </x:c>
      <x:c r="C23" s="17" t="str">
        <x:v>20</x:v>
      </x:c>
      <x:c r="D23" s="17" t="str">
        <x:v>FPGA Acceleration for Quantum</x:v>
      </x:c>
      <x:c r="E23" s="17" t="str">
        <x:v>The Hitchhiker's Guide to FPGA-Accelerated Quantum Error Correction</x:v>
      </x:c>
      <x:c r="F23" s="17" t="str">
        <x:v>Vitali, M. et al.</x:v>
      </x:c>
      <x:c r="G23" s="17" t="str">
        <x:v>2023</x:v>
      </x:c>
      <x:c r="H23" s="17" t="str">
        <x:v>IEEE International Conference on Quantum Software (QSW)</x:v>
      </x:c>
      <x:c r="I23" s="17" t="str">
        <x:v>Survey and KPI analysis for FPGA-based QEC decoders; identifies mandatory requirements: real-time throughput, latency, power, scalability</x:v>
      </x:c>
      <x:c r="J23" s="17" t="str">
        <x:v>Real-time FPGA QEC feasible at sub-microsecond latency; pipeline and parallel architectures dominate; KPIs: &lt;1μs decoding latency requirement</x:v>
      </x:c>
      <x:c r="K23" s="17" t="str">
        <x:v>QEC focus only; no QKD routing; survey not implementation; does not address network-layer decisions</x:v>
      </x:c>
      <x:c r="L23" s="17" t="str">
        <x:v>Establishes FPGA as the correct platform for quantum-adjacent real-time processing — motivates QFlow's FPGA platform choice.</x:v>
      </x:c>
      <x:c r="M23" s="17" t="str">
        <x:v>The Hitchhiker's Guide to FPGA-Accelerated Quantum Error Correction</x:v>
      </x:c>
      <x:c r="N23" s="17" t="str">
        <x:v>Beatrice Branchini; Davide Conficconi; Donatella Sciuto; Marco D. Santambrogio</x:v>
      </x:c>
      <x:c r="O23" s="17" t="str">
        <x:v>2023</x:v>
      </x:c>
      <x:c r="P23" s="17" t="str">
        <x:v>2023 IEEE International Conference on Quantum Computing and Engineering (QCE), 338-339</x:v>
      </x:c>
      <x:c r="Q23" s="17" t="str">
        <x:v>D</x:v>
      </x:c>
      <x:c r="R23" s="17" t="str">
        <x:v>Survey of FPGA QEC decoders</x:v>
      </x:c>
      <x:c r="S23" s="17" t="str">
        <x:v>Survey/KPI synthesis</x:v>
      </x:c>
      <x:c r="T23" s="17" t="str">
        <x:v>Verified from IEEE publisher record</x:v>
      </x:c>
      <x:c r="U23" s="17" t="str">
        <x:v>Bibliographic identity and survey scope verified</x:v>
      </x:c>
      <x:c r="V23" s="17" t="str">
        <x:v>No QFlow-equivalent routing latency</x:v>
      </x:c>
      <x:c r="W23" s="17" t="str">
        <x:v>https://ieeexplore.ieee.org/document/10313923</x:v>
      </x:c>
      <x:c r="X23" s="17" t="str">
        <x:v>IEEE document 10313923</x:v>
      </x:c>
      <x:c r="Y23" s="17" t="str">
        <x:v>IEEE publisher record</x:v>
      </x:c>
      <x:c r="Z23" s="17" t="str">
        <x:v>2026-07-17</x:v>
      </x:c>
      <x:c r="AA23" s="17" t="str">
        <x:v>The paper surveys requirements and KPIs for FPGA-accelerated quantum-error-correction decoders.</x:v>
      </x:c>
      <x:c r="AB23" s="17" t="str">
        <x:v>No measured QKD routing result is retained. Sub-microsecond QEC requirements are not routing-decision measurements.</x:v>
      </x:c>
      <x:c r="AC23" s="17" t="str">
        <x:v>QEC and survey scope only; no QKD routing or same-workload comparison.</x:v>
      </x:c>
      <x:c r="AD23" s="17" t="str">
        <x:v>Class D quantum-adjacent FPGA context only.</x:v>
      </x:c>
      <x:c r="AE23" s="17" t="str">
        <x:v>Verified with claim restriction</x:v>
      </x:c>
      <x:c r="AF23" s="17" t="str">
        <x:v>The workbook presented a QEC requirement as a general measured FPGA result.</x:v>
      </x:c>
      <x:c r="AG23" s="17" t="str"/>
    </x:row>
    <x:row r="24">
      <x:c r="A24" s="17" t="str">
        <x:v>P021</x:v>
      </x:c>
      <x:c r="B24" s="17" t="str">
        <x:v>26</x:v>
      </x:c>
      <x:c r="C24" s="17" t="str">
        <x:v>21</x:v>
      </x:c>
      <x:c r="D24" s="17" t="str">
        <x:v>FPGA Acceleration for Quantum</x:v>
      </x:c>
      <x:c r="E24" s="17" t="str">
        <x:v>FPT-EMS: FPGA Implementation Using NB-LDPC Code for CV-QKD</x:v>
      </x:c>
      <x:c r="F24" s="17" t="str">
        <x:v>Multiple authors</x:v>
      </x:c>
      <x:c r="G24" s="17" t="str">
        <x:v>2025</x:v>
      </x:c>
      <x:c r="H24" s="17" t="str">
        <x:v>HEART 2025 (ACM)</x:v>
      </x:c>
      <x:c r="I24" s="17" t="str">
        <x:v>HLS-based T-EMS decoder for NB-LDPC codes targeting CV-QKD reconciliation; six pipelined submodules; designed with HLS pragmas</x:v>
      </x:c>
      <x:c r="J24" s="17" t="str">
        <x:v>High reconciliation efficiency at low SNR; resource-efficient on Zynq FPGA; competitive throughput vs. GPU implementations</x:v>
      </x:c>
      <x:c r="K24" s="17" t="str">
        <x:v>Decoder-only; no network layer; no routing; HLS constraints limit fine-grained optimization</x:v>
      </x:c>
      <x:c r="L24" s="17" t="str">
        <x:v>2025 FPGA-QKD physical layer work. Pattern of FPGA for QKD lower layers is clear; QFlow breaks into network layer.</x:v>
      </x:c>
      <x:c r="M24" s="17" t="str">
        <x:v>FPT-EMS: An FPGA Implementation Using NB-LDPC Code for Continuous-Variable Quantum Key Distribution</x:v>
      </x:c>
      <x:c r="N24" s="17" t="str">
        <x:v>Kaijie Wei; Devanshu Garg; Ryutaro Nagai; Takao Tomono; Hideharu Amano</x:v>
      </x:c>
      <x:c r="O24" s="17" t="str">
        <x:v>2025</x:v>
      </x:c>
      <x:c r="P24" s="17" t="str">
        <x:v>HEART 2025, 117-125</x:v>
      </x:c>
      <x:c r="Q24" s="17" t="str">
        <x:v>D</x:v>
      </x:c>
      <x:c r="R24" s="17" t="str">
        <x:v>AMD RFSoC 4x2; HLS FPGA decoder</x:v>
      </x:c>
      <x:c r="S24" s="17" t="str">
        <x:v>Synthesized/measured FPGA component</x:v>
      </x:c>
      <x:c r="T24" s="17" t="str">
        <x:v>Verified from ACM record</x:v>
      </x:c>
      <x:c r="U24" s="17" t="str">
        <x:v>Identity, target and method verified; numeric speed claims held</x:v>
      </x:c>
      <x:c r="V24" s="17" t="str">
        <x:v>Routing-decision latency not applicable</x:v>
      </x:c>
      <x:c r="W24" s="17" t="str">
        <x:v>https://dl.acm.org/doi/10.1145/3728179.3728183</x:v>
      </x:c>
      <x:c r="X24" s="17" t="str">
        <x:v>10.1145/3728179.3728183</x:v>
      </x:c>
      <x:c r="Y24" s="17" t="str">
        <x:v>ACM publisher record/paper</x:v>
      </x:c>
      <x:c r="Z24" s="17" t="str">
        <x:v>2026-07-17</x:v>
      </x:c>
      <x:c r="AA24" s="17" t="str">
        <x:v>An HLS implementation of the trellis-based extended min-sum NB-LDPC decoder targets CV-QKD on an RFSoC 4x2 platform.</x:v>
      </x:c>
      <x:c r="AB24" s="17" t="str">
        <x:v>The publisher source supports the FPGA/HLS decoder scope; no cross-platform throughput number is retained in this audit pass.</x:v>
      </x:c>
      <x:c r="AC24" s="17" t="str">
        <x:v>Reconciliation decoder only; not routing, key management or fidelity-aware path selection.</x:v>
      </x:c>
      <x:c r="AD24" s="17" t="str">
        <x:v>Class D recent FPGA-QKD post-processing context.</x:v>
      </x:c>
      <x:c r="AE24" s="17" t="str">
        <x:v>Verified with claim restriction</x:v>
      </x:c>
      <x:c r="AF24" s="17" t="str">
        <x:v>Unmapped efficiency, throughput and GPU-comparison statements removed.</x:v>
      </x:c>
      <x:c r="AG24" s="17" t="str"/>
    </x:row>
    <x:row r="25">
      <x:c r="A25" s="17" t="str">
        <x:v>P022</x:v>
      </x:c>
      <x:c r="B25" s="17" t="str">
        <x:v>27</x:v>
      </x:c>
      <x:c r="C25" s="17" t="str">
        <x:v>22</x:v>
      </x:c>
      <x:c r="D25" s="17" t="str">
        <x:v>FPGA Acceleration for Quantum</x:v>
      </x:c>
      <x:c r="E25" s="17" t="str">
        <x:v>FPGA-Based Synchronization of Frequency Domain Interferometer for QKD</x:v>
      </x:c>
      <x:c r="F25" s="17" t="str">
        <x:v>Chandra, N.; Krishnamurthy, P.K.</x:v>
      </x:c>
      <x:c r="G25" s="17" t="str">
        <x:v>2024</x:v>
      </x:c>
      <x:c r="H25" s="17" t="str">
        <x:v>IEEE Transactions on Quantum Engineering</x:v>
      </x:c>
      <x:c r="I25" s="17" t="str">
        <x:v>FPGA real-time synchronization of quantum interferometer; sub-nanosecond timing precision; Zynq SoC implementation</x:v>
      </x:c>
      <x:c r="J25" s="17" t="str">
        <x:v>Sub-ns sync precision; stable quantum fringe visibility; enables high-rate QKD at &gt; 1 Gbps clock</x:v>
      </x:c>
      <x:c r="K25" s="17" t="str">
        <x:v>Physical-layer synchronization only; no routing; no key management; not applicable to network-level decisions</x:v>
      </x:c>
      <x:c r="L25" s="17" t="str">
        <x:v>Confirms FPGA sub-nanosecond precision for quantum applications — same principle exploited by QFlow for routing decisions.</x:v>
      </x:c>
      <x:c r="M25" s="17" t="str">
        <x:v>FPGA-Based Synchronization of Frequency-Domain Interferometer for QKD</x:v>
      </x:c>
      <x:c r="N25" s="17" t="str">
        <x:v>Nishanth Chandra; Pradeep Kumar Krishnamurthy</x:v>
      </x:c>
      <x:c r="O25" s="17" t="str">
        <x:v>2025</x:v>
      </x:c>
      <x:c r="P25" s="17" t="str">
        <x:v>IEEE Transactions on Quantum Engineering 6, Article 4100111, 1-10</x:v>
      </x:c>
      <x:c r="Q25" s="17" t="str">
        <x:v>D</x:v>
      </x:c>
      <x:c r="R25" s="17" t="str">
        <x:v>FPGA-based QKD synchronization experiment</x:v>
      </x:c>
      <x:c r="S25" s="17" t="str">
        <x:v>Measured physical-layer FPGA component</x:v>
      </x:c>
      <x:c r="T25" s="17" t="str">
        <x:v>Verified from IEEE record</x:v>
      </x:c>
      <x:c r="U25" s="17" t="str">
        <x:v>Identity and experimental synchronization scope verified</x:v>
      </x:c>
      <x:c r="V25" s="17" t="str">
        <x:v>Routing-decision latency not applicable</x:v>
      </x:c>
      <x:c r="W25" s="17" t="str">
        <x:v>https://ieeexplore.ieee.org/document/10769019</x:v>
      </x:c>
      <x:c r="X25" s="17" t="str">
        <x:v>IEEE document 10769019</x:v>
      </x:c>
      <x:c r="Y25" s="17" t="str">
        <x:v>IEEE publisher record</x:v>
      </x:c>
      <x:c r="Z25" s="17" t="str">
        <x:v>2026-07-17</x:v>
      </x:c>
      <x:c r="AA25" s="17" t="str">
        <x:v>The work experimentally demonstrates FPGA-based synchronization for a frequency-domain interferometer used in QKD.</x:v>
      </x:c>
      <x:c r="AB25" s="17" t="str">
        <x:v>The audit retains the experimental synchronization scope but not the workbook's sub-nanosecond precision or greater-than-1-Gbps clock claims.</x:v>
      </x:c>
      <x:c r="AC25" s="17" t="str">
        <x:v>Physical-layer synchronization only; no routing or key-management decision datapath.</x:v>
      </x:c>
      <x:c r="AD25" s="17" t="str">
        <x:v>Class D physical-layer component context.</x:v>
      </x:c>
      <x:c r="AE25" s="17" t="str">
        <x:v>Verified with claim restriction</x:v>
      </x:c>
      <x:c r="AF25" s="17" t="str">
        <x:v>Specific precision and clock-rate claims require exact full-text mapping.</x:v>
      </x:c>
      <x:c r="AG25" s="17" t="str">
        <x:v>The IEEE record appeared online in 2024; final volume 6 is cited as 2025.</x:v>
      </x:c>
    </x:row>
    <x:row r="26">
      <x:c r="A26" s="17" t="str">
        <x:v>P023</x:v>
      </x:c>
      <x:c r="B26" s="17" t="str">
        <x:v>29</x:v>
      </x:c>
      <x:c r="C26" s="17" t="str">
        <x:v>23</x:v>
      </x:c>
      <x:c r="D26" s="17" t="str">
        <x:v>Hardware Genetic Algorithms</x:v>
      </x:c>
      <x:c r="E26" s="17" t="str">
        <x:v>A Fully Customizable Hardware Implementation for General Purpose Genetic Algorithms</x:v>
      </x:c>
      <x:c r="F26" s="17" t="str">
        <x:v>Sahin, I.; et al.</x:v>
      </x:c>
      <x:c r="G26" s="17" t="str">
        <x:v>2017</x:v>
      </x:c>
      <x:c r="H26" s="17" t="str">
        <x:v>Applied Soft Computing, 62, 152–163, Elsevier</x:v>
      </x:c>
      <x:c r="I26" s="17" t="str">
        <x:v>Fully customizable GA IP core for FPGA (VHDL); pipelined + parallel architecture; modular operators (selection, crossover, mutation) as swappable blocks</x:v>
      </x:c>
      <x:c r="J26" s="17" t="str">
        <x:v>~95% reduction in clock cycles per generation vs. previous implementations; finds global optimum on TSP and benchmark functions; 12% LUT utilization</x:v>
      </x:c>
      <x:c r="K26" s="17" t="str">
        <x:v>Single-objective GA; general purpose (not quantum-domain-specific); no Pareto front; no domain-specific fitness (no fidelity or key metrics)</x:v>
      </x:c>
      <x:c r="L26" s="17" t="str">
        <x:v>CITED IN QFLOW PLAN. The general-purpose GA IP core that QFlow extends with quantum-specific fitness functions, multi-objective Pareto comparators, and SKAG coupling.</x:v>
      </x:c>
      <x:c r="M26" s="17" t="str">
        <x:v>A fully customizable hardware implementation for general purpose genetic algorithms</x:v>
      </x:c>
      <x:c r="N26" s="17" t="str">
        <x:v>Murat Peker</x:v>
      </x:c>
      <x:c r="O26" s="17" t="str">
        <x:v>2018</x:v>
      </x:c>
      <x:c r="P26" s="17" t="str">
        <x:v>Applied Soft Computing 62, 1066-1076</x:v>
      </x:c>
      <x:c r="Q26" s="17" t="str">
        <x:v>D</x:v>
      </x:c>
      <x:c r="R26" s="17" t="str">
        <x:v>VHDL GA IP core on FPGA</x:v>
      </x:c>
      <x:c r="S26" s="17" t="str">
        <x:v>FPGA implementation evaluation</x:v>
      </x:c>
      <x:c r="T26" s="17" t="str">
        <x:v>Verified from publisher page</x:v>
      </x:c>
      <x:c r="U26" s="17" t="str">
        <x:v>Identity and architecture verified; workbook metrics held</x:v>
      </x:c>
      <x:c r="V26" s="17" t="str">
        <x:v>Not a routing-decision measurement</x:v>
      </x:c>
      <x:c r="W26" s="17" t="str">
        <x:v>https://www.sciencedirect.com/science/article/pii/S1568494617305835</x:v>
      </x:c>
      <x:c r="X26" s="17" t="str">
        <x:v>10.1016/j.asoc.2017.09.044</x:v>
      </x:c>
      <x:c r="Y26" s="17" t="str">
        <x:v>Publisher page/abstract</x:v>
      </x:c>
      <x:c r="Z26" s="17" t="str">
        <x:v>2026-07-17</x:v>
      </x:c>
      <x:c r="AA26" s="17" t="str">
        <x:v>A customizable and scalable VHDL GA IP core uses modular pipelined and parallel operators on FPGA.</x:v>
      </x:c>
      <x:c r="AB26" s="17" t="str">
        <x:v>The publisher supports reduced generation cycles and increased convergence speed; the workbook's 95%, TSP/global-optimum and 12% LUT bundle is not retained without exact table mapping.</x:v>
      </x:c>
      <x:c r="AC26" s="17" t="str">
        <x:v>General-purpose, primarily single-objective GA; not quantum routing and not a same-device QFlow baseline.</x:v>
      </x:c>
      <x:c r="AD26" s="17" t="str">
        <x:v>Class D hardware-GA architectural precedent.</x:v>
      </x:c>
      <x:c r="AE26" s="17" t="str">
        <x:v>Verified with claim restriction</x:v>
      </x:c>
      <x:c r="AF26" s="17" t="str">
        <x:v>Original author, year, pages and quantitative bundle were incorrect or unmapped.</x:v>
      </x:c>
      <x:c r="AG26" s="17" t="str"/>
    </x:row>
    <x:row r="27">
      <x:c r="A27" s="17" t="str">
        <x:v>P024</x:v>
      </x:c>
      <x:c r="B27" s="17" t="str">
        <x:v>30</x:v>
      </x:c>
      <x:c r="C27" s="17" t="str">
        <x:v>24</x:v>
      </x:c>
      <x:c r="D27" s="17" t="str">
        <x:v>Hardware Genetic Algorithms</x:v>
      </x:c>
      <x:c r="E27" s="17" t="str">
        <x:v>Customizable FPGA IP Core Implementation of a General-Purpose Genetic Algorithm Engine</x:v>
      </x:c>
      <x:c r="F27" s="17" t="str">
        <x:v>Fernando, P.; Katkoori, S.</x:v>
      </x:c>
      <x:c r="G27" s="17" t="str">
        <x:v>2010</x:v>
      </x:c>
      <x:c r="H27" s="17" t="str">
        <x:v>IEEE Transactions on Evolutionary Computation, 14(1), 133–149</x:v>
      </x:c>
      <x:c r="I27" s="17" t="str">
        <x:v>GA IP core on Xilinx Virtex-II Pro; parameterizable population/generations/rates; multiple fitness functions supported; BRAM-based chromosome storage</x:v>
      </x:c>
      <x:c r="J27" s="17" t="str">
        <x:v>13% LUT utilization; 50 MHz clock; configurable via register interface; verified on standard benchmarks</x:v>
      </x:c>
      <x:c r="K27" s="17" t="str">
        <x:v>Single-objective only; old FPGA technology; no domain-specific operators; no Pareto dominance; 50 MHz limits throughput</x:v>
      </x:c>
      <x:c r="L27" s="17" t="str">
        <x:v>Foundational FPGA-GA IP core paper. QFlow's PMO-GA generalizes this to multi-objective with quantum-domain fitness at 200 MHz.</x:v>
      </x:c>
      <x:c r="M27" s="17" t="str">
        <x:v>Customizable FPGA IP Core Implementation of a General-Purpose Genetic Algorithm Engine</x:v>
      </x:c>
      <x:c r="N27" s="17" t="str">
        <x:v>Pradeep R. Fernando; Srinivas Katkoori; Didier Keymeulen; Ricardo Zebulum; Adrian Stoica</x:v>
      </x:c>
      <x:c r="O27" s="17" t="str">
        <x:v>2010</x:v>
      </x:c>
      <x:c r="P27" s="17" t="str">
        <x:v>IEEE Transactions on Evolutionary Computation 14(1), 133-149</x:v>
      </x:c>
      <x:c r="Q27" s="17" t="str">
        <x:v>D</x:v>
      </x:c>
      <x:c r="R27" s="17" t="str">
        <x:v>Xilinx Virtex-II Pro FPGA GA IP core</x:v>
      </x:c>
      <x:c r="S27" s="17" t="str">
        <x:v>FPGA implementation evaluation</x:v>
      </x:c>
      <x:c r="T27" s="17" t="str">
        <x:v>Verified from IEEE journal record</x:v>
      </x:c>
      <x:c r="U27" s="17" t="str">
        <x:v>Identity, configurability and 13% area verified</x:v>
      </x:c>
      <x:c r="V27" s="17" t="str">
        <x:v>Not a routing-decision measurement</x:v>
      </x:c>
      <x:c r="W27" s="17" t="str">
        <x:v>https://ieeexplore.ieee.org/document/5299091</x:v>
      </x:c>
      <x:c r="X27" s="17" t="str">
        <x:v>10.1109/TEVC.2009.2025032</x:v>
      </x:c>
      <x:c r="Y27" s="17" t="str">
        <x:v>IEEE publisher paper</x:v>
      </x:c>
      <x:c r="Z27" s="17" t="str">
        <x:v>2026-07-17</x:v>
      </x:c>
      <x:c r="AA27" s="17" t="str">
        <x:v>A register-configurable general-purpose GA IP core supports programmable population, generations, rates, seed and fitness function.</x:v>
      </x:c>
      <x:c r="AB27" s="17" t="str">
        <x:v>The placed-and-routed Virtex-II Pro core reports about 13% area utilization; other workbook clock/interface claims are not retained here.</x:v>
      </x:c>
      <x:c r="AC27" s="17" t="str">
        <x:v>Older single-objective general-purpose engine; no Pareto QKD routing workload.</x:v>
      </x:c>
      <x:c r="AD27" s="17" t="str">
        <x:v>Class D foundational GA-IP precedent.</x:v>
      </x:c>
      <x:c r="AE27" s="17" t="str">
        <x:v>Verified with claim restriction</x:v>
      </x:c>
      <x:c r="AF27" s="17" t="str">
        <x:v>Incomplete authorship and unmapped frequency claim corrected.</x:v>
      </x:c>
      <x:c r="AG27" s="17" t="str"/>
    </x:row>
    <x:row r="28">
      <x:c r="A28" s="17" t="str">
        <x:v>P025</x:v>
      </x:c>
      <x:c r="B28" s="17" t="str">
        <x:v>31</x:v>
      </x:c>
      <x:c r="C28" s="17" t="str">
        <x:v>25</x:v>
      </x:c>
      <x:c r="D28" s="17" t="str">
        <x:v>Hardware Genetic Algorithms</x:v>
      </x:c>
      <x:c r="E28" s="17" t="str">
        <x:v>Automated Framework for General-Purpose Genetic Algorithms in FPGAs</x:v>
      </x:c>
      <x:c r="F28" s="17" t="str">
        <x:v>Guo, L.; Thomas, D.B.; Luk, W.</x:v>
      </x:c>
      <x:c r="G28" s="17" t="str">
        <x:v>2014</x:v>
      </x:c>
      <x:c r="H28" s="17" t="str">
        <x:v>EvoApplications 2014, LNCS 8602, Springer</x:v>
      </x:c>
      <x:c r="I28" s="17" t="str">
        <x:v>HLS-based automated GA framework; user provides problem specification; generates parameterized FPGA implementation; demonstrated on NP-hard set covering</x:v>
      </x:c>
      <x:c r="J28" s="17" t="str">
        <x:v>30× speedup vs. multi-core CPU; flexible and reusable; demonstrated on 6 benchmark problems including locating and set covering</x:v>
      </x:c>
      <x:c r="K28" s="17" t="str">
        <x:v>No multi-objective support; HLS abstraction limits cycle-accurate optimization; no domain-specific quantum operators</x:v>
      </x:c>
      <x:c r="L28" s="17" t="str">
        <x:v>Automated FPGA-GA framework. QFlow hand-designs PMO-GA for maximum performance and quantum-domain specificity.</x:v>
      </x:c>
      <x:c r="M28" s="17" t="str">
        <x:v>Automated Framework for General-Purpose Genetic Algorithms in FPGAs</x:v>
      </x:c>
      <x:c r="N28" s="17" t="str">
        <x:v>Liucheng Guo; David B. Thomas; Wayne Luk</x:v>
      </x:c>
      <x:c r="O28" s="17" t="str">
        <x:v>2014</x:v>
      </x:c>
      <x:c r="P28" s="17" t="str">
        <x:v>Applications of Evolutionary Computation, LNCS 8602, 714-725</x:v>
      </x:c>
      <x:c r="Q28" s="17" t="str">
        <x:v>D</x:v>
      </x:c>
      <x:c r="R28" s="17" t="str">
        <x:v>Automated FPGA GA framework</x:v>
      </x:c>
      <x:c r="S28" s="17" t="str">
        <x:v>Framework and FPGA evaluation</x:v>
      </x:c>
      <x:c r="T28" s="17" t="str">
        <x:v>Verified from Springer publisher page</x:v>
      </x:c>
      <x:c r="U28" s="17" t="str">
        <x:v>Identity and framework scope verified</x:v>
      </x:c>
      <x:c r="V28" s="17" t="str">
        <x:v>Not a routing-decision measurement</x:v>
      </x:c>
      <x:c r="W28" s="17" t="str">
        <x:v>https://link.springer.com/chapter/10.1007/978-3-662-45523-4_58</x:v>
      </x:c>
      <x:c r="X28" s="17" t="str">
        <x:v>10.1007/978-3-662-45523-4_58</x:v>
      </x:c>
      <x:c r="Y28" s="17" t="str">
        <x:v>Publisher metadata/abstract</x:v>
      </x:c>
      <x:c r="Z28" s="17" t="str">
        <x:v>2026-07-17</x:v>
      </x:c>
      <x:c r="AA28" s="17" t="str">
        <x:v>An automated framework generates and executes customizable general-purpose genetic algorithms on FPGAs.</x:v>
      </x:c>
      <x:c r="AB28" s="17" t="str">
        <x:v>The framework scope is verified; the workbook's 30x speedup and six-benchmark statement are not retained without full result mapping.</x:v>
      </x:c>
      <x:c r="AC28" s="17" t="str">
        <x:v>General-purpose framework; no quantum-specific objectives or same-workload QFlow comparison.</x:v>
      </x:c>
      <x:c r="AD28" s="17" t="str">
        <x:v>Class D FPGA-GA tooling precedent.</x:v>
      </x:c>
      <x:c r="AE28" s="17" t="str">
        <x:v>Verified with claim restriction</x:v>
      </x:c>
      <x:c r="AF28" s="17" t="str">
        <x:v>Unmapped speedup and benchmark-count claims removed.</x:v>
      </x:c>
      <x:c r="AG28" s="17" t="str"/>
    </x:row>
    <x:row r="29">
      <x:c r="A29" s="17" t="str">
        <x:v>P026</x:v>
      </x:c>
      <x:c r="B29" s="17" t="str">
        <x:v>32</x:v>
      </x:c>
      <x:c r="C29" s="17" t="str">
        <x:v>26</x:v>
      </x:c>
      <x:c r="D29" s="17" t="str">
        <x:v>Hardware Genetic Algorithms</x:v>
      </x:c>
      <x:c r="E29" s="17" t="str">
        <x:v>RapidLayout: Fast Hard Block Placement Using NSGA-II on Xilinx UltraScale+ FPGAs</x:v>
      </x:c>
      <x:c r="F29" s="17" t="str">
        <x:v>Waidyasooriya, H.M. et al.</x:v>
      </x:c>
      <x:c r="G29" s="17" t="str">
        <x:v>2022</x:v>
      </x:c>
      <x:c r="H29" s="17" t="str">
        <x:v>ACM Transactions on Reconfigurable Technology and Systems (TRETS)</x:v>
      </x:c>
      <x:c r="I29" s="17" t="str">
        <x:v>NSGA-II multi-objective evolutionary algorithm for FPGA placement; dual objectives: wirelength² + bounding box; transfer learning between FPGA families</x:v>
      </x:c>
      <x:c r="J29" s="17" t="str">
        <x:v>5–6× faster than Vivado with manual constraints; eliminates weeks of manual placement; Pareto-optimal placements at high frequency</x:v>
      </x:c>
      <x:c r="K29" s="17" t="str">
        <x:v>EDA application (placement), not communication routing; runs on CPU not on FPGA itself; different optimization domain</x:v>
      </x:c>
      <x:c r="L29" s="17" t="str">
        <x:v>Modern multi-objective NSGA-II with Pareto dominance. QFlow applies similar Pareto mechanisms to quantum routing in hardware.</x:v>
      </x:c>
      <x:c r="M29" s="17" t="str">
        <x:v>RapidLayout: Fast Hard Block Placement of FPGA-Optimized Systolic Arrays Using Evolutionary Algorithms</x:v>
      </x:c>
      <x:c r="N29" s="17" t="str">
        <x:v>Niansong Zhang; Xiang Chen; Nachiket Kapre</x:v>
      </x:c>
      <x:c r="O29" s="17" t="str">
        <x:v>2022</x:v>
      </x:c>
      <x:c r="P29" s="17" t="str">
        <x:v>ACM Transactions on Reconfigurable Technology and Systems</x:v>
      </x:c>
      <x:c r="Q29" s="17" t="str">
        <x:v>D</x:v>
      </x:c>
      <x:c r="R29" s="17" t="str">
        <x:v>Host-side RapidWright evolutionary placement tool</x:v>
      </x:c>
      <x:c r="S29" s="17" t="str">
        <x:v>EDA tool evaluation</x:v>
      </x:c>
      <x:c r="T29" s="17" t="str">
        <x:v>Verified from ACM paper and official preprint</x:v>
      </x:c>
      <x:c r="U29" s="17" t="str">
        <x:v>Reported placement comparisons verified</x:v>
      </x:c>
      <x:c r="V29" s="17" t="str">
        <x:v>Not applicable to network routing latency</x:v>
      </x:c>
      <x:c r="W29" s="17" t="str">
        <x:v>https://dl.acm.org/doi/10.1145/3501803</x:v>
      </x:c>
      <x:c r="X29" s="17" t="str">
        <x:v>10.1145/3501803</x:v>
      </x:c>
      <x:c r="Y29" s="17" t="str">
        <x:v>ACM publisher paper/official preprint</x:v>
      </x:c>
      <x:c r="Z29" s="17" t="str">
        <x:v>2026-07-17</x:v>
      </x:c>
      <x:c r="AA29" s="17" t="str">
        <x:v>RapidLayout is a host-side evolutionary hard-block placement and routing flow built on Xilinx RapidWright for UltraScale+ systolic accelerators.</x:v>
      </x:c>
      <x:c r="AB29" s="17" t="str">
        <x:v>The paper reports 5-6x lower placement runtime than Vivado with manual constraints and additional comparisons with VPR and UTPlaceF.</x:v>
      </x:c>
      <x:c r="AC29" s="17" t="str">
        <x:v>The evolutionary optimizer runs as an EDA tool, not as an FPGA-resident GA, and its placement objectives differ from QKD routing.</x:v>
      </x:c>
      <x:c r="AD29" s="17" t="str">
        <x:v>Class D multi-objective evolutionary-method context only.</x:v>
      </x:c>
      <x:c r="AE29" s="17" t="str">
        <x:v>Verified</x:v>
      </x:c>
      <x:c r="AF29" s="17" t="str"/>
      <x:c r="AG29" s="17" t="str">
        <x:v>The workbook title, authors and statement that NSGA-II runs on the FPGA were corrected.</x:v>
      </x:c>
    </x:row>
    <x:row r="30">
      <x:c r="A30" s="17" t="str">
        <x:v>P027</x:v>
      </x:c>
      <x:c r="B30" s="17" t="str">
        <x:v>33</x:v>
      </x:c>
      <x:c r="C30" s="17" t="str">
        <x:v>27</x:v>
      </x:c>
      <x:c r="D30" s="17" t="str">
        <x:v>Hardware Genetic Algorithms</x:v>
      </x:c>
      <x:c r="E30" s="17" t="str">
        <x:v>A High-Performance, Pipelined, FPGA-Based Genetic Algorithm Machine</x:v>
      </x:c>
      <x:c r="F30" s="17" t="str">
        <x:v>Shackleford, B.; Snider, G.; Carter, R.</x:v>
      </x:c>
      <x:c r="G30" s="17" t="str">
        <x:v>2001</x:v>
      </x:c>
      <x:c r="H30" s="17" t="str">
        <x:v>Genetic Programming and Evolvable Machines, Springer</x:v>
      </x:c>
      <x:c r="I30" s="17" t="str">
        <x:v>Multi-FPGA pipelined GA; one child per clock cycle by pipelining selection, crossover, mutation, fitness; steady-state memory model</x:v>
      </x:c>
      <x:c r="J30" s="17" t="str">
        <x:v>1 child/clock cycle throughput; solves 94×520 set covering problem; throughput limited only by fitness evaluation depth</x:v>
      </x:c>
      <x:c r="K30" s="17" t="str">
        <x:v>Multi-FPGA system required; single-objective; old technology; no BRAM-based memory hierarchy</x:v>
      </x:c>
      <x:c r="L30" s="17" t="str">
        <x:v>Seminal paper on pipelined FPGA-GA. QFlow's 5-stage PMO-GA pipeline is inspired by this one-child-per-cycle approach.</x:v>
      </x:c>
      <x:c r="M30" s="17" t="str">
        <x:v>A High-Performance, Pipelined, FPGA-Based Genetic Algorithm Machine</x:v>
      </x:c>
      <x:c r="N30" s="17" t="str">
        <x:v>Barry Shackleford; Greg Snider; Richard J. Carter; Etsuko Okushi; Mitsuhiro Yasuda; Katsuhiko Seo; Hiroto Yasuura</x:v>
      </x:c>
      <x:c r="O30" s="17" t="str">
        <x:v>2001</x:v>
      </x:c>
      <x:c r="P30" s="17" t="str">
        <x:v>Genetic Programming and Evolvable Machines 2(1), 33-60</x:v>
      </x:c>
      <x:c r="Q30" s="17" t="str">
        <x:v>D</x:v>
      </x:c>
      <x:c r="R30" s="17" t="str">
        <x:v>Multi-FPGA and single-FPGA GA prototypes</x:v>
      </x:c>
      <x:c r="S30" s="17" t="str">
        <x:v>Measured FPGA implementations</x:v>
      </x:c>
      <x:c r="T30" s="17" t="str">
        <x:v>Verified from Springer full text</x:v>
      </x:c>
      <x:c r="U30" s="17" t="str">
        <x:v>Prototype speedups and clock rates verified</x:v>
      </x:c>
      <x:c r="V30" s="17" t="str">
        <x:v>Not a QKD routing-decision measurement</x:v>
      </x:c>
      <x:c r="W30" s="17" t="str">
        <x:v>https://link.springer.com/article/10.1023/A:1010018632078</x:v>
      </x:c>
      <x:c r="X30" s="17" t="str">
        <x:v>10.1023/A:1010018632078</x:v>
      </x:c>
      <x:c r="Y30" s="17" t="str">
        <x:v>Publisher full text</x:v>
      </x:c>
      <x:c r="Z30" s="17" t="str">
        <x:v>2026-07-17</x:v>
      </x:c>
      <x:c r="AA30" s="17" t="str">
        <x:v>Pipelined steady-state GA hardware couples problem-specific pipelined fitness circuits with FPGA-resident evolutionary operators.</x:v>
      </x:c>
      <x:c r="AB30" s="17" t="str">
        <x:v>Reported prototypes include a 1 MHz multi-FPGA set-covering design at 2200x its stated workstation baseline and a 66 MHz single-FPGA protein-folding design at 320x its stated Pentium-II baseline.</x:v>
      </x:c>
      <x:c r="AC30" s="17" t="str">
        <x:v>Old devices, problem-specific fitness circuits and historical workstation baselines prevent direct comparison with QFlow.</x:v>
      </x:c>
      <x:c r="AD30" s="17" t="str">
        <x:v>Class D seminal pipelined hardware-GA precedent.</x:v>
      </x:c>
      <x:c r="AE30" s="17" t="str">
        <x:v>Verified</x:v>
      </x:c>
      <x:c r="AF30" s="17" t="str"/>
      <x:c r="AG30" s="17" t="str"/>
    </x:row>
    <x:row r="31">
      <x:c r="A31" s="17" t="str">
        <x:v>P028</x:v>
      </x:c>
      <x:c r="B31" s="17" t="str">
        <x:v>34</x:v>
      </x:c>
      <x:c r="C31" s="17" t="str">
        <x:v>28</x:v>
      </x:c>
      <x:c r="D31" s="17" t="str">
        <x:v>Hardware Genetic Algorithms</x:v>
      </x:c>
      <x:c r="E31" s="17" t="str">
        <x:v>Hardware Implementation of Genetic Algorithm on FPGA</x:v>
      </x:c>
      <x:c r="F31" s="17" t="str">
        <x:v>Peng, F.; Peng, P.</x:v>
      </x:c>
      <x:c r="G31" s="17" t="str">
        <x:v>2004</x:v>
      </x:c>
      <x:c r="H31" s="17" t="str">
        <x:v>IEEE Midwest Symposium on Circuits and Systems (MWSCAS)</x:v>
      </x:c>
      <x:c r="I31" s="17" t="str">
        <x:v>Parallel-pipelined hardware GA (PPHGA) in VHDL; handshaking protocol between modules; verified on 3 applications (interpolation, thermistor, vehicle)</x:v>
      </x:c>
      <x:c r="J31" s="17" t="str">
        <x:v>Autonomous parallel operation; correctness verified on engineering applications; modular VHDL design</x:v>
      </x:c>
      <x:c r="K31" s="17" t="str">
        <x:v>Early implementation; limited parameterization; no multi-objective; resource usage not optimized</x:v>
      </x:c>
      <x:c r="L31" s="17" t="str">
        <x:v>Historical FPGA-GA implementation. Demonstrates modular VHDL decomposition approach adopted by QFlow's module separation.</x:v>
      </x:c>
      <x:c r="M31" s="17" t="str">
        <x:v>Hardware Implementation of Genetic Algorithms Using FPGA</x:v>
      </x:c>
      <x:c r="N31" s="17" t="str">
        <x:v>Wallace K. S. Tang; Leslie Yip</x:v>
      </x:c>
      <x:c r="O31" s="17" t="str">
        <x:v>2004</x:v>
      </x:c>
      <x:c r="P31" s="17" t="str">
        <x:v>47th IEEE Midwest Symposium on Circuits and Systems, Vol. 1, I-549-I-552</x:v>
      </x:c>
      <x:c r="Q31" s="17" t="str">
        <x:v>D</x:v>
      </x:c>
      <x:c r="R31" s="17" t="str">
        <x:v>PCI FPGA GA processor</x:v>
      </x:c>
      <x:c r="S31" s="17" t="str">
        <x:v>FPGA architecture/implementation</x:v>
      </x:c>
      <x:c r="T31" s="17" t="str">
        <x:v>Verified from institutional and IEEE-linked record</x:v>
      </x:c>
      <x:c r="U31" s="17" t="str">
        <x:v>Identity and architecture scope verified</x:v>
      </x:c>
      <x:c r="V31" s="17" t="str">
        <x:v>Not a QKD routing-decision measurement</x:v>
      </x:c>
      <x:c r="W31" s="17" t="str">
        <x:v>https://scholars.cityu.edu.hk/en/publications/hardware-implementation-of-genetic-algorithms-using-fpga/</x:v>
      </x:c>
      <x:c r="X31" s="17" t="str">
        <x:v>10.1109/MWSCAS.2004.1354049</x:v>
      </x:c>
      <x:c r="Y31" s="17" t="str">
        <x:v>Institutional record and IEEE-linked paper</x:v>
      </x:c>
      <x:c r="Z31" s="17" t="str">
        <x:v>2026-07-17</x:v>
      </x:c>
      <x:c r="AA31" s="17" t="str">
        <x:v>A PCI-board FPGA GA processor exposes parallel and pipelined configurations for optimization workloads.</x:v>
      </x:c>
      <x:c r="AB31" s="17" t="str">
        <x:v>The architecture and implementation are verified; no normalized speedup is retained in this audit pass.</x:v>
      </x:c>
      <x:c r="AC31" s="17" t="str">
        <x:v>Historical general-purpose GA implementation; no multi-objective quantum routing workload.</x:v>
      </x:c>
      <x:c r="AD31" s="17" t="str">
        <x:v>Class D historical FPGA-GA context.</x:v>
      </x:c>
      <x:c r="AE31" s="17" t="str">
        <x:v>Verified</x:v>
      </x:c>
      <x:c r="AF31" s="17" t="str"/>
      <x:c r="AG31" s="17" t="str">
        <x:v>The workbook's Peng authorship and singular title were incorrect.</x:v>
      </x:c>
    </x:row>
    <x:row r="32">
      <x:c r="A32" s="17" t="str">
        <x:v>P029</x:v>
      </x:c>
      <x:c r="B32" s="17" t="str">
        <x:v>36</x:v>
      </x:c>
      <x:c r="C32" s="17" t="str">
        <x:v>29</x:v>
      </x:c>
      <x:c r="D32" s="17" t="str">
        <x:v>Fidelity-Aware Routing</x:v>
      </x:c>
      <x:c r="E32" s="17" t="str">
        <x:v>RELiQ: Scalable Entanglement Routing via Reinforcement Learning in Quantum Networks</x:v>
      </x:c>
      <x:c r="F32" s="17" t="str">
        <x:v>Meuser, T. et al. (TU Darmstadt group)</x:v>
      </x:c>
      <x:c r="G32" s="17" t="str">
        <x:v>2025</x:v>
      </x:c>
      <x:c r="H32" s="17" t="str">
        <x:v>arXiv 2511.22321 / IEEE (accepted)</x:v>
      </x:c>
      <x:c r="I32" s="17" t="str">
        <x:v>RL-based entanglement routing using GNN with local information only; iterative message exchange between repeaters; trained on random graphs</x:v>
      </x:c>
      <x:c r="J32" s="17" t="str">
        <x:v>Outperforms global-information heuristics; constant per-node load regardless of network size; scales to 1000 repeaters</x:v>
      </x:c>
      <x:c r="K32" s="17" t="str">
        <x:v>Software RL agent; inference latency in ms; no hardware implementation; fidelity modeled but tracking not in hardware</x:v>
      </x:c>
      <x:c r="L32" s="17" t="str">
        <x:v>CITED IN QFLOW PLAN. State-of-the-art software routing. QFlow provides hardware equivalent — same fidelity awareness, 1000× faster decisions.</x:v>
      </x:c>
      <x:c r="M32" s="17" t="str">
        <x:v>RELiQ: Scalable Entanglement Routing via Reinforcement Learning in Quantum Networks</x:v>
      </x:c>
      <x:c r="N32" s="17" t="str">
        <x:v>Tobias Meuser; Jannis Weil; Aninda Lahiri; Marius Paraschiv</x:v>
      </x:c>
      <x:c r="O32" s="17" t="str">
        <x:v>2026</x:v>
      </x:c>
      <x:c r="P32" s="17" t="str">
        <x:v>IEEE Transactions on Communications 74, 1860-1875</x:v>
      </x:c>
      <x:c r="Q32" s="17" t="str">
        <x:v>C</x:v>
      </x:c>
      <x:c r="R32" s="17" t="str">
        <x:v>RL/GNN software; quantum-network simulation</x:v>
      </x:c>
      <x:c r="S32" s="17" t="str">
        <x:v>Network simulation</x:v>
      </x:c>
      <x:c r="T32" s="17" t="str">
        <x:v>Verified from IEEE and official arXiv records</x:v>
      </x:c>
      <x:c r="U32" s="17" t="str">
        <x:v>Qualitative comparison scope verified</x:v>
      </x:c>
      <x:c r="V32" s="17" t="str">
        <x:v>Inference runtime not reported as a hardware-comparable metric</x:v>
      </x:c>
      <x:c r="W32" s="17" t="str">
        <x:v>https://ieeexplore.ieee.org/document/11275902</x:v>
      </x:c>
      <x:c r="X32" s="17" t="str">
        <x:v>10.1109/TCOMM.2025.3640083</x:v>
      </x:c>
      <x:c r="Y32" s="17" t="str">
        <x:v>IEEE record and official preprint</x:v>
      </x:c>
      <x:c r="Z32" s="17" t="str">
        <x:v>2026-07-17</x:v>
      </x:c>
      <x:c r="AA32" s="17" t="str">
        <x:v>RELiQ uses local information, iterative message exchange and a graph neural network trained on random graphs for entanglement routing.</x:v>
      </x:c>
      <x:c r="AB32" s="17" t="str">
        <x:v>The authors report performance competitive with local and global-information heuristics across random and real-world topologies; no 1000-node or timing claim is retained here.</x:v>
      </x:c>
      <x:c r="AC32" s="17" t="str">
        <x:v>Software/simulation method for entanglement networks, not QKD key-pool FPGA routing.</x:v>
      </x:c>
      <x:c r="AD32" s="17" t="str">
        <x:v>Class C algorithmic counterpart; compare only under matched topology, demand and quantum-link models.</x:v>
      </x:c>
      <x:c r="AE32" s="17" t="str">
        <x:v>Verified with claim restriction</x:v>
      </x:c>
      <x:c r="AF32" s="17" t="str">
        <x:v>Millisecond inference, 1000-repeater and 1000x-QFlow statements were not verified and are removed.</x:v>
      </x:c>
      <x:c r="AG32" s="17" t="str"/>
    </x:row>
    <x:row r="33">
      <x:c r="A33" s="17" t="str">
        <x:v>P030</x:v>
      </x:c>
      <x:c r="B33" s="17" t="str">
        <x:v>37</x:v>
      </x:c>
      <x:c r="C33" s="17" t="str">
        <x:v>30</x:v>
      </x:c>
      <x:c r="D33" s="17" t="str">
        <x:v>Fidelity-Aware Routing</x:v>
      </x:c>
      <x:c r="E33" s="17" t="str">
        <x:v>qRL: Reinforcement Learning Routing for Quantum Entanglement Networks</x:v>
      </x:c>
      <x:c r="F33" s="17" t="str">
        <x:v>Multiple authors</x:v>
      </x:c>
      <x:c r="G33" s="17" t="str">
        <x:v>2024</x:v>
      </x:c>
      <x:c r="H33" s="17" t="str">
        <x:v>IEEE Conference on Quantum Computing (QCE)</x:v>
      </x:c>
      <x:c r="I33" s="17" t="str">
        <x:v>Quantum-aware RL routing protocol; two-stage: (1) efficient route finding, (2) entanglement swapping and purification scheduling</x:v>
      </x:c>
      <x:c r="J33" s="17" t="str">
        <x:v>Superior end-to-end route fidelity; significantly higher request success rates vs. traditional methods across multiple network sizes</x:v>
      </x:c>
      <x:c r="K33" s="17" t="str">
        <x:v>Software agent; training required per topology; ms latency; entanglement-focused (not key-pool-focused for QKD)</x:v>
      </x:c>
      <x:c r="L33" s="17" t="str">
        <x:v>Fidelity-aware RL routing. QFlow tracks fidelity in dedicated FDPE hardware and routes without RL inference delays.</x:v>
      </x:c>
      <x:c r="M33" s="17" t="str">
        <x:v>qRL: Reinforcement Learning Routing for Quantum Entanglement Networks</x:v>
      </x:c>
      <x:c r="N33" s="17" t="str">
        <x:v>Diego Medeiros de Abreu; Antônio Abelém</x:v>
      </x:c>
      <x:c r="O33" s="17" t="str">
        <x:v>2024</x:v>
      </x:c>
      <x:c r="P33" s="17" t="str">
        <x:v>2024 IEEE Symposium on Computers and Communications (ISCC)</x:v>
      </x:c>
      <x:c r="Q33" s="17" t="str">
        <x:v>C</x:v>
      </x:c>
      <x:c r="R33" s="17" t="str">
        <x:v>Reinforcement-learning software; quantum-network simulation</x:v>
      </x:c>
      <x:c r="S33" s="17" t="str">
        <x:v>Network simulation</x:v>
      </x:c>
      <x:c r="T33" s="17" t="str">
        <x:v>Verified from IEEE publisher record</x:v>
      </x:c>
      <x:c r="U33" s="17" t="str">
        <x:v>Identity and protocol scope verified</x:v>
      </x:c>
      <x:c r="V33" s="17" t="str">
        <x:v>Decision/inference runtime not reported</x:v>
      </x:c>
      <x:c r="W33" s="17" t="str">
        <x:v>https://ieeexplore.ieee.org/document/10733623</x:v>
      </x:c>
      <x:c r="X33" s="17" t="str">
        <x:v>10.1109/ISCC61673.2024.10733623</x:v>
      </x:c>
      <x:c r="Y33" s="17" t="str">
        <x:v>IEEE publisher record</x:v>
      </x:c>
      <x:c r="Z33" s="17" t="str">
        <x:v>2026-07-17</x:v>
      </x:c>
      <x:c r="AA33" s="17" t="str">
        <x:v>qRL is a quantum-aware reinforcement-learning routing protocol for entanglement networks.</x:v>
      </x:c>
      <x:c r="AB33" s="17" t="str">
        <x:v>The source supports comparative simulation evaluation; the workbook's two-stage swapping/purification and unspecified superiority statements are not retained as verified metrics.</x:v>
      </x:c>
      <x:c r="AC33" s="17" t="str">
        <x:v>Software simulation; entanglement-routing scope differs from QKD key-pool routing and no measured inference latency is provided.</x:v>
      </x:c>
      <x:c r="AD33" s="17" t="str">
        <x:v>Class C fidelity-aware algorithmic counterpart.</x:v>
      </x:c>
      <x:c r="AE33" s="17" t="str">
        <x:v>Verified with claim restriction</x:v>
      </x:c>
      <x:c r="AF33" s="17" t="str">
        <x:v>Method details and quantitative claims were broader than the verified publisher record.</x:v>
      </x:c>
      <x:c r="AG33" s="17" t="str"/>
    </x:row>
    <x:row r="34">
      <x:c r="A34" s="17" t="str">
        <x:v>P031</x:v>
      </x:c>
      <x:c r="B34" s="17" t="str">
        <x:v>38</x:v>
      </x:c>
      <x:c r="C34" s="17" t="str">
        <x:v>31</x:v>
      </x:c>
      <x:c r="D34" s="17" t="str">
        <x:v>Fidelity-Aware Routing</x:v>
      </x:c>
      <x:c r="E34" s="17" t="str">
        <x:v>QoS-Aware Reinforcement Learning Routing for Entanglement Networks</x:v>
      </x:c>
      <x:c r="F34" s="17" t="str">
        <x:v>Abreu, D.</x:v>
      </x:c>
      <x:c r="G34" s="17" t="str">
        <x:v>2025</x:v>
      </x:c>
      <x:c r="H34" s="17" t="str">
        <x:v>Research Square preprint (under review)</x:v>
      </x:c>
      <x:c r="I34" s="17" t="str">
        <x:v>RL with fidelity-aware rewards; utility-based scheduling; models decoherence and quantum memory constraints; compares to DQRA and Proactive baselines</x:v>
      </x:c>
      <x:c r="J34" s="17" t="str">
        <x:v>0.05–0.10 fidelity advantage over DQRA; 0.15–0.20 over Proactive; better queue management under bursty traffic</x:v>
      </x:c>
      <x:c r="K34" s="17" t="str">
        <x:v>Preprint; software only; high classical coordination overhead; decoherence modeled but no hardware prediction</x:v>
      </x:c>
      <x:c r="L34" s="17" t="str">
        <x:v>Latest QoS-fidelity routing. QFlow's FDPE performs continuous hardware decoherence prediction — what this paper does in software.</x:v>
      </x:c>
      <x:c r="M34" s="17" t="str">
        <x:v>QoS-Aware Reinforcement Learning Routing for Entanglement Networks</x:v>
      </x:c>
      <x:c r="N34" s="17" t="str">
        <x:v>Diego Abreu; Antônio Abelém</x:v>
      </x:c>
      <x:c r="O34" s="17" t="str">
        <x:v>2026</x:v>
      </x:c>
      <x:c r="P34" s="17" t="str">
        <x:v>Research Square preprint</x:v>
      </x:c>
      <x:c r="Q34" s="17" t="str">
        <x:v>C</x:v>
      </x:c>
      <x:c r="R34" s="17" t="str">
        <x:v>RL software; preprint simulation</x:v>
      </x:c>
      <x:c r="S34" s="17" t="str">
        <x:v>Network simulation/preprint</x:v>
      </x:c>
      <x:c r="T34" s="17" t="str">
        <x:v>Verified from Research Square record</x:v>
      </x:c>
      <x:c r="U34" s="17" t="str">
        <x:v>Preprint identity and qualitative scope verified</x:v>
      </x:c>
      <x:c r="V34" s="17" t="str">
        <x:v>Decision/inference runtime not reported</x:v>
      </x:c>
      <x:c r="W34" s="17" t="str">
        <x:v>https://www.researchsquare.com/article/rs-8455670/v1</x:v>
      </x:c>
      <x:c r="X34" s="17" t="str">
        <x:v>10.21203/rs.3.rs-8455670/v1</x:v>
      </x:c>
      <x:c r="Y34" s="17" t="str">
        <x:v>Official preprint record</x:v>
      </x:c>
      <x:c r="Z34" s="17" t="str">
        <x:v>2026-07-17</x:v>
      </x:c>
      <x:c r="AA34" s="17" t="str">
        <x:v>A QoS-aware RL scheme prioritizes entanglement requests and evaluates success, delay and fidelity across traffic classes.</x:v>
      </x:c>
      <x:c r="AB34" s="17" t="str">
        <x:v>The preprint reports comparative simulation results; the workbook's exact fidelity-advantage intervals are held pending table-level verification.</x:v>
      </x:c>
      <x:c r="AC34" s="17" t="str">
        <x:v>Non-peer-reviewed preprint; software simulation with no hardware routing implementation or measured inference latency.</x:v>
      </x:c>
      <x:c r="AD34" s="17" t="str">
        <x:v>Class C emerging algorithmic context only.</x:v>
      </x:c>
      <x:c r="AE34" s="17" t="str">
        <x:v>Verified with claim restriction</x:v>
      </x:c>
      <x:c r="AF34" s="17" t="str">
        <x:v>The workbook year was premature and exact quantitative intervals were not source-mapped.</x:v>
      </x:c>
      <x:c r="AG34" s="17" t="str"/>
    </x:row>
    <x:row r="35">
      <x:c r="A35" s="17" t="str">
        <x:v>P032</x:v>
      </x:c>
      <x:c r="B35" s="17" t="str">
        <x:v>39</x:v>
      </x:c>
      <x:c r="C35" s="17" t="str">
        <x:v>32</x:v>
      </x:c>
      <x:c r="D35" s="17" t="str">
        <x:v>Fidelity-Aware Routing</x:v>
      </x:c>
      <x:c r="E35" s="17" t="str">
        <x:v>Entanglement Routing for Quantum Networks: A Deep Reinforcement Learning Approach</x:v>
      </x:c>
      <x:c r="F35" s="17" t="str">
        <x:v>Chakraborty, K. et al.</x:v>
      </x:c>
      <x:c r="G35" s="17" t="str">
        <x:v>2022</x:v>
      </x:c>
      <x:c r="H35" s="17" t="str">
        <x:v>IEEE Transactions on Quantum Engineering</x:v>
      </x:c>
      <x:c r="I35" s="17" t="str">
        <x:v>DRL-based entanglement routing; state includes fidelity and memory capacity; reward based on fidelity and delivery rate</x:v>
      </x:c>
      <x:c r="J35" s="17" t="str">
        <x:v>Significant improvements in routing fidelity and delivery rates vs. Dijkstra-based methods; demonstrated on 20-node networks</x:v>
      </x:c>
      <x:c r="K35" s="17" t="str">
        <x:v>Software DRL; training required; fidelity-aware but not key-pool-aware; no hardware implementation</x:v>
      </x:c>
      <x:c r="L35" s="17" t="str">
        <x:v>Early fidelity-aware DRL routing paper. Establishes that fidelity must be a first-class routing metric — core QFlow premise.</x:v>
      </x:c>
      <x:c r="M35" s="17" t="str">
        <x:v>Entanglement Routing for Quantum Networks: A Deep Reinforcement Learning Approach</x:v>
      </x:c>
      <x:c r="N35" s="17" t="str">
        <x:v>Linh Le; Tu N. Nguyen; Ahyoung Lee; Braulio Dumba</x:v>
      </x:c>
      <x:c r="O35" s="17" t="str">
        <x:v>2022</x:v>
      </x:c>
      <x:c r="P35" s="17" t="str">
        <x:v>ICC 2022 - IEEE International Conference on Communications, 395-400</x:v>
      </x:c>
      <x:c r="Q35" s="17" t="str">
        <x:v>C</x:v>
      </x:c>
      <x:c r="R35" s="17" t="str">
        <x:v>Deep-RL software; quantum-network simulation</x:v>
      </x:c>
      <x:c r="S35" s="17" t="str">
        <x:v>Network simulation</x:v>
      </x:c>
      <x:c r="T35" s="17" t="str">
        <x:v>Verified from IEEE publisher paper</x:v>
      </x:c>
      <x:c r="U35" s="17" t="str">
        <x:v>Identity, method and venue verified</x:v>
      </x:c>
      <x:c r="V35" s="17" t="str">
        <x:v>Decision/inference runtime not reported</x:v>
      </x:c>
      <x:c r="W35" s="17" t="str">
        <x:v>https://ieeexplore.ieee.org/document/9839240</x:v>
      </x:c>
      <x:c r="X35" s="17" t="str">
        <x:v>10.1109/ICC45855.2022.9839240</x:v>
      </x:c>
      <x:c r="Y35" s="17" t="str">
        <x:v>IEEE publisher paper</x:v>
      </x:c>
      <x:c r="Z35" s="17" t="str">
        <x:v>2026-07-17</x:v>
      </x:c>
      <x:c r="AA35" s="17" t="str">
        <x:v>A deep quantum routing agent learns entanglement-routing decisions to serve demands while optimizing fidelity and rate objectives.</x:v>
      </x:c>
      <x:c r="AB35" s="17" t="str">
        <x:v>Comparative simulation improvements are reported; the workbook's 20-node and unspecified significant-improvement wording is not retained as a normalized result.</x:v>
      </x:c>
      <x:c r="AC35" s="17" t="str">
        <x:v>Conference simulation study, not IEEE TQE; no FPGA implementation or measured inference runtime.</x:v>
      </x:c>
      <x:c r="AD35" s="17" t="str">
        <x:v>Class C early fidelity-aware DRL routing counterpart.</x:v>
      </x:c>
      <x:c r="AE35" s="17" t="str">
        <x:v>Verified with claim restriction</x:v>
      </x:c>
      <x:c r="AF35" s="17" t="str">
        <x:v>Venue, authorship and unsupported metric detail corrected.</x:v>
      </x:c>
      <x:c r="AG35" s="17" t="str"/>
    </x:row>
    <x:row r="36">
      <x:c r="A36" s="17" t="str">
        <x:v>P033</x:v>
      </x:c>
      <x:c r="B36" s="17" t="str">
        <x:v>40</x:v>
      </x:c>
      <x:c r="C36" s="17" t="str">
        <x:v>33</x:v>
      </x:c>
      <x:c r="D36" s="17" t="str">
        <x:v>Fidelity-Aware Routing</x:v>
      </x:c>
      <x:c r="E36" s="17" t="str">
        <x:v>Robust Belief-State Policy Learning for Quantum Network Routing Under Decoherence</x:v>
      </x:c>
      <x:c r="F36" s="17" t="str">
        <x:v>Anonymous authors</x:v>
      </x:c>
      <x:c r="G36" s="17" t="str">
        <x:v>2025</x:v>
      </x:c>
      <x:c r="H36" s="17" t="str">
        <x:v>arXiv 2509.08654</x:v>
      </x:c>
      <x:c r="I36" s="17" t="str">
        <x:v>POMDP + GNN hybrid for quantum routing; belief-state compression for partial observability; noise-adaptive mechanism for decoherence</x:v>
      </x:c>
      <x:c r="J36" s="17" t="str">
        <x:v>Fidelity 0.917 ± 0.034; 1.4× higher delivery under peak demand; scales to 300-node networks; 67% qubit utilization</x:v>
      </x:c>
      <x:c r="K36" s="17" t="str">
        <x:v>Preprint; computationally expensive POMDP belief update; software only; seconds-scale training requirement</x:v>
      </x:c>
      <x:c r="L36" s="17" t="str">
        <x:v>Most mathematically sophisticated software routing. QFlow achieves comparable fidelity-awareness in nanoseconds without belief inference.</x:v>
      </x:c>
      <x:c r="M36" s="17" t="str">
        <x:v>Robust Belief-State Policy Learning for Quantum Network Routing Under Decoherence and Time-Varying Conditions</x:v>
      </x:c>
      <x:c r="N36" s="17" t="str">
        <x:v>Amirhossein Taherpour; Abbas Taherpour; Tamer Khattab</x:v>
      </x:c>
      <x:c r="O36" s="17" t="str">
        <x:v>2025</x:v>
      </x:c>
      <x:c r="P36" s="17" t="str">
        <x:v>arXiv:2509.08654</x:v>
      </x:c>
      <x:c r="Q36" s="17" t="str">
        <x:v>C</x:v>
      </x:c>
      <x:c r="R36" s="17" t="str">
        <x:v>GNN-POMDP software; quantum-network simulation</x:v>
      </x:c>
      <x:c r="S36" s="17" t="str">
        <x:v>Preprint simulation</x:v>
      </x:c>
      <x:c r="T36" s="17" t="str">
        <x:v>Verified from official arXiv record</x:v>
      </x:c>
      <x:c r="U36" s="17" t="str">
        <x:v>Abstract-level scope verified; workbook numbers held</x:v>
      </x:c>
      <x:c r="V36" s="17" t="str">
        <x:v>Decision/inference runtime not reported</x:v>
      </x:c>
      <x:c r="W36" s="17" t="str">
        <x:v>https://arxiv.org/abs/2509.08654</x:v>
      </x:c>
      <x:c r="X36" s="17" t="str">
        <x:v>10.48550/arXiv.2509.08654</x:v>
      </x:c>
      <x:c r="Y36" s="17" t="str">
        <x:v>Official preprint record and abstract</x:v>
      </x:c>
      <x:c r="Z36" s="17" t="str">
        <x:v>2026-07-17</x:v>
      </x:c>
      <x:c r="AA36" s="17" t="str">
        <x:v>A feature-based POMDP combines belief-state planning and a GNN for routing under partial observability, decoherence and time-varying noise.</x:v>
      </x:c>
      <x:c r="AB36" s="17" t="str">
        <x:v>The abstract reports simulated networks up to 100 nodes and qualitative improvements in fidelity and entanglement delivery.</x:v>
      </x:c>
      <x:c r="AC36" s="17" t="str">
        <x:v>Preprint and software simulation only. The workbook's anonymous authorship, 300-node scale, exact fidelity, 1.4x delivery and 67% resource figures are not supported by the official abstract.</x:v>
      </x:c>
      <x:c r="AD36" s="17" t="str">
        <x:v>Class C fidelity-aware algorithmic counterpart; compare utility only under a matched network model.</x:v>
      </x:c>
      <x:c r="AE36" s="17" t="str">
        <x:v>Verified with claim restriction</x:v>
      </x:c>
      <x:c r="AF36" s="17" t="str">
        <x:v>Unsupported exact metrics and 300-node claim removed.</x:v>
      </x:c>
      <x:c r="AG36" s="17" t="str"/>
    </x:row>
    <x:row r="37">
      <x:c r="A37" s="17" t="str">
        <x:v>P034</x:v>
      </x:c>
      <x:c r="B37" s="17" t="str">
        <x:v>41</x:v>
      </x:c>
      <x:c r="C37" s="17" t="str">
        <x:v>34</x:v>
      </x:c>
      <x:c r="D37" s="17" t="str">
        <x:v>Fidelity-Aware Routing</x:v>
      </x:c>
      <x:c r="E37" s="17" t="str">
        <x:v>Optimal Key Forwarding Strategy in QKD Behaviours</x:v>
      </x:c>
      <x:c r="F37" s="17" t="str">
        <x:v>Mehic, M. et al.</x:v>
      </x:c>
      <x:c r="G37" s="17" t="str">
        <x:v>2024</x:v>
      </x:c>
      <x:c r="H37" s="17" t="str">
        <x:v>Scientific Reports, 14, Nature</x:v>
      </x:c>
      <x:c r="I37" s="17" t="str">
        <x:v>LP formulation for key forwarding and redistribution at KMS level; three scenarios: all-to-all, one-to-all, one-to-one; maximization of key redistribution</x:v>
      </x:c>
      <x:c r="J37" s="17" t="str">
        <x:v>Optimal redistribution computed via LP; performance depends heavily on network size and graph topology</x:v>
      </x:c>
      <x:c r="K37" s="17" t="str">
        <x:v>LP solver (offline); no real-time key tracking; no fidelity model; KMS-level only; cannot react to decoherence events</x:v>
      </x:c>
      <x:c r="L37" s="17" t="str">
        <x:v>Key forwarding optimization at KMS level. QFlow provides real-time hardware equivalent of their LP solution.</x:v>
      </x:c>
      <x:c r="M37" s="17" t="str">
        <x:v>Optimal key forwarding strategy in QKD behaviours</x:v>
      </x:c>
      <x:c r="N37" s="17" t="str">
        <x:v>Alin-Bogdan Popa; Pantelimon George Popescu</x:v>
      </x:c>
      <x:c r="O37" s="17" t="str">
        <x:v>2024</x:v>
      </x:c>
      <x:c r="P37" s="17" t="str">
        <x:v>Scientific Reports 14, Article 13977</x:v>
      </x:c>
      <x:c r="Q37" s="17" t="str">
        <x:v>C</x:v>
      </x:c>
      <x:c r="R37" s="17" t="str">
        <x:v>Linear-programming model; simulated QKD networks</x:v>
      </x:c>
      <x:c r="S37" s="17" t="str">
        <x:v>Network optimization simulation</x:v>
      </x:c>
      <x:c r="T37" s="17" t="str">
        <x:v>Verified from publisher full text</x:v>
      </x:c>
      <x:c r="U37" s="17" t="str">
        <x:v>Identity, method and qualitative evaluation scope verified</x:v>
      </x:c>
      <x:c r="V37" s="17" t="str">
        <x:v>Solver/runtime is not a QFlow-equivalent routing-decision latency</x:v>
      </x:c>
      <x:c r="W37" s="17" t="str">
        <x:v>https://www.nature.com/articles/s41598-024-64994-6</x:v>
      </x:c>
      <x:c r="X37" s="17" t="str">
        <x:v>10.1038/s41598-024-64994-6</x:v>
      </x:c>
      <x:c r="Y37" s="17" t="str">
        <x:v>Publisher full text</x:v>
      </x:c>
      <x:c r="Z37" s="17" t="str">
        <x:v>2026-07-17</x:v>
      </x:c>
      <x:c r="AA37" s="17" t="str">
        <x:v>The paper formalizes KMS-level QKD-key forwarding and redistribution as linear programs for all-to-all, one-to-all and one-to-one scenarios.</x:v>
      </x:c>
      <x:c r="AB37" s="17" t="str">
        <x:v>It evaluates forwarding and key consumption on simulated QKD networks; no FPGA routing result is reported.</x:v>
      </x:c>
      <x:c r="AC37" s="17" t="str">
        <x:v>KMS-level optimization and simulation; the workbook's Mehic authorship is incorrect and no hardware latency is supplied.</x:v>
      </x:c>
      <x:c r="AD37" s="17" t="str">
        <x:v>Class C network-utility context if topology, demand and key-generation assumptions are matched.</x:v>
      </x:c>
      <x:c r="AE37" s="17" t="str">
        <x:v>Verified with bibliographic correction</x:v>
      </x:c>
      <x:c r="AF37" s="17" t="str">
        <x:v>Authors corrected from the workbook.</x:v>
      </x:c>
      <x:c r="AG37" s="17" t="str"/>
    </x:row>
    <x:row r="38">
      <x:c r="A38" s="17" t="str">
        <x:v>P035</x:v>
      </x:c>
      <x:c r="B38" s="17" t="str">
        <x:v>43</x:v>
      </x:c>
      <x:c r="C38" s="17" t="str">
        <x:v>35</x:v>
      </x:c>
      <x:c r="D38" s="17" t="str">
        <x:v>TSN &amp; Deterministic Networking</x:v>
      </x:c>
      <x:c r="E38" s="17" t="str">
        <x:v>Time-Sensitive Networking (TSN) for Industrial Automation: Current Advances and Future Directions</x:v>
      </x:c>
      <x:c r="F38" s="17" t="str">
        <x:v>Peng, Z. et al.</x:v>
      </x:c>
      <x:c r="G38" s="17" t="str">
        <x:v>2023</x:v>
      </x:c>
      <x:c r="H38" s="17" t="str">
        <x:v>arXiv 2306.03691 (IEEE TNSM under review)</x:v>
      </x:c>
      <x:c r="I38" s="17" t="str">
        <x:v>Comprehensive survey of TSN standards: IEEE 802.1Qbv (TAS), 802.1Qbu (preemption), 802.1AS (sync), 802.1CB (redundancy); applications and open challenges</x:v>
      </x:c>
      <x:c r="J38" s="17" t="str">
        <x:v>802.1Qbv achieves bounded e2e latency with GCL; NP-hard scheduling problem; RL emerging for dynamic reconfiguration</x:v>
      </x:c>
      <x:c r="K38" s="17" t="str">
        <x:v>Industrial automation context; no quantum application; scheduling NP-hard; GCL reconfiguration at centralized level</x:v>
      </x:c>
      <x:c r="L38" s="17" t="str">
        <x:v>QFlow adopts 802.1Qbv for QP-TSN scheduler. This survey establishes the TSN mechanism QFlow adapts for quantum priority traffic.</x:v>
      </x:c>
      <x:c r="M38" s="17" t="str">
        <x:v>Time-Sensitive Networking (TSN) for Industrial Automation: Current Advances and Future Directions</x:v>
      </x:c>
      <x:c r="N38" s="17" t="str">
        <x:v>Tianyu Zhang; Gang Wang; Chuanyu Xue; Jiachen Wang; Mark Nixon; Song Han</x:v>
      </x:c>
      <x:c r="O38" s="17" t="str">
        <x:v>2025</x:v>
      </x:c>
      <x:c r="P38" s="17" t="str">
        <x:v>ACM Computing Surveys 57(2), Article 30, 1-38</x:v>
      </x:c>
      <x:c r="Q38" s="17" t="str">
        <x:v>D</x:v>
      </x:c>
      <x:c r="R38" s="17" t="str">
        <x:v>Survey; industrial TSN systems</x:v>
      </x:c>
      <x:c r="S38" s="17" t="str">
        <x:v>Systematic survey</x:v>
      </x:c>
      <x:c r="T38" s="17" t="str">
        <x:v>Verified from ACM DOI and official preprint</x:v>
      </x:c>
      <x:c r="U38" s="17" t="str">
        <x:v>Identity and survey scope verified</x:v>
      </x:c>
      <x:c r="V38" s="17" t="str">
        <x:v>No QFlow-equivalent routing-decision latency</x:v>
      </x:c>
      <x:c r="W38" s="17" t="str">
        <x:v>https://doi.org/10.1145/3695248</x:v>
      </x:c>
      <x:c r="X38" s="17" t="str">
        <x:v>10.1145/3695248</x:v>
      </x:c>
      <x:c r="Y38" s="17" t="str">
        <x:v>ACM publisher record and official preprint</x:v>
      </x:c>
      <x:c r="Z38" s="17" t="str">
        <x:v>2026-07-17</x:v>
      </x:c>
      <x:c r="AA38" s="17" t="str">
        <x:v>A broad survey organizes TSN standards, scheduling and industrial deployment challenges.</x:v>
      </x:c>
      <x:c r="AB38" s="17" t="str">
        <x:v>Survey evidence only; it does not provide a same-workload QKD routing implementation.</x:v>
      </x:c>
      <x:c r="AC38" s="17" t="str">
        <x:v>Classical TSN domain and no QKD key-pool/fidelity semantics. The final ACM citation supersedes the workbook's generic 2023 arXiv citation.</x:v>
      </x:c>
      <x:c r="AD38" s="17" t="str">
        <x:v>Class D deterministic-networking context only.</x:v>
      </x:c>
      <x:c r="AE38" s="17" t="str">
        <x:v>Verified with bibliographic correction</x:v>
      </x:c>
      <x:c r="AF38" s="17" t="str">
        <x:v>Final ACM year, venue and authors corrected.</x:v>
      </x:c>
      <x:c r="AG38" s="17" t="str"/>
    </x:row>
    <x:row r="39">
      <x:c r="A39" s="17" t="str">
        <x:v>P036</x:v>
      </x:c>
      <x:c r="B39" s="17" t="str">
        <x:v>44</x:v>
      </x:c>
      <x:c r="C39" s="17" t="str">
        <x:v>36</x:v>
      </x:c>
      <x:c r="D39" s="17" t="str">
        <x:v>TSN &amp; Deterministic Networking</x:v>
      </x:c>
      <x:c r="E39" s="17" t="str">
        <x:v>Real-Time Scheduling for 802.1Qbv Time-Sensitive Networking: A Systematic Review and Experimental Study</x:v>
      </x:c>
      <x:c r="F39" s="17" t="str">
        <x:v>Li, X. et al.</x:v>
      </x:c>
      <x:c r="G39" s="17" t="str">
        <x:v>2024</x:v>
      </x:c>
      <x:c r="H39" s="17" t="str">
        <x:v>arXiv 2305.16772 (IEEE Transactions)</x:v>
      </x:c>
      <x:c r="I39" s="17" t="str">
        <x:v>Systematic review of 17 TSN scheduling methods: FR, NW, SMT models; experimental comparison on hardware testbed; GCL configuration study</x:v>
      </x:c>
      <x:c r="J39" s="17" t="str">
        <x:v>No-wait model minimizes latency; SMT-NW optimal for small networks; ML-based scheduling gaining traction; hardware GCL latency measured</x:v>
      </x:c>
      <x:c r="K39" s="17" t="str">
        <x:v>Industrial focus; no quantum; GCL reconfiguration latency at ms scale in centralized models</x:v>
      </x:c>
      <x:c r="L39" s="17" t="str">
        <x:v>Validates that GCL-based TSN achieves bounded latency. QFlow's QP-TSN implements microsecond hardware GCL swap vs their ms centralized approach.</x:v>
      </x:c>
      <x:c r="M39" s="17" t="str">
        <x:v>Real-Time Scheduling for 802.1Qbv Time-Sensitive Networking (TSN): A Systematic Review and Experimental Study</x:v>
      </x:c>
      <x:c r="N39" s="17" t="str">
        <x:v>Chuanyu Xue; Tianyu Zhang; Yuanbin Zhou; Mark Nixon; Andrew Loveless; Song Han</x:v>
      </x:c>
      <x:c r="O39" s="17" t="str">
        <x:v>2024</x:v>
      </x:c>
      <x:c r="P39" s="17" t="str">
        <x:v>2024 IEEE RTAS, 108-121</x:v>
      </x:c>
      <x:c r="Q39" s="17" t="str">
        <x:v>D</x:v>
      </x:c>
      <x:c r="R39" s="17" t="str">
        <x:v>Python scheduling implementations; TSN simulator and 8-bridge testbed</x:v>
      </x:c>
      <x:c r="S39" s="17" t="str">
        <x:v>Survey, simulation and testbed</x:v>
      </x:c>
      <x:c r="T39" s="17" t="str">
        <x:v>Verified from IEEE paper and official arXiv full text</x:v>
      </x:c>
      <x:c r="U39" s="17" t="str">
        <x:v>Seventeen-method evaluation and testbed verified</x:v>
      </x:c>
      <x:c r="V39" s="17" t="str">
        <x:v>Measured TSN delays are not QFlow decision latency</x:v>
      </x:c>
      <x:c r="W39" s="17" t="str">
        <x:v>https://ieeexplore.ieee.org/document/10568056</x:v>
      </x:c>
      <x:c r="X39" s="17" t="str">
        <x:v>10.1109/RTAS61025.2024.00017</x:v>
      </x:c>
      <x:c r="Y39" s="17" t="str">
        <x:v>IEEE paper and official preprint</x:v>
      </x:c>
      <x:c r="Z39" s="17" t="str">
        <x:v>2026-07-17</x:v>
      </x:c>
      <x:c r="AA39" s="17" t="str">
        <x:v>The study categorizes and evaluates 17 TAS scheduling methods using simulation plus an eight-bridge, eight-end-station TSN testbed.</x:v>
      </x:c>
      <x:c r="AB39" s="17" t="str">
        <x:v>It reports schedulability, scalability and schedule-quality comparisons; no QKD routing datapath is evaluated.</x:v>
      </x:c>
      <x:c r="AC39" s="17" t="str">
        <x:v>TSN scheduling boundaries and traffic semantics differ from QKD routing. Testbed propagation/processing measurements cannot be relabeled as algorithm-decision latency.</x:v>
      </x:c>
      <x:c r="AD39" s="17" t="str">
        <x:v>Class D methodology and benchmarking context.</x:v>
      </x:c>
      <x:c r="AE39" s="17" t="str">
        <x:v>Verified with bibliographic correction</x:v>
      </x:c>
      <x:c r="AF39" s="17" t="str">
        <x:v>Venue corrected from a generic transaction citation to RTAS 2024.</x:v>
      </x:c>
      <x:c r="AG39" s="17" t="str"/>
    </x:row>
    <x:row r="40">
      <x:c r="A40" s="17" t="str">
        <x:v>P037</x:v>
      </x:c>
      <x:c r="B40" s="17" t="str">
        <x:v>45</x:v>
      </x:c>
      <x:c r="C40" s="17" t="str">
        <x:v>37</x:v>
      </x:c>
      <x:c r="D40" s="17" t="str">
        <x:v>TSN &amp; Deterministic Networking</x:v>
      </x:c>
      <x:c r="E40" s="17" t="str">
        <x:v>Configuring the IEEE 802.1Qbv Time-Aware Shaper with Deep Reinforcement Learning</x:v>
      </x:c>
      <x:c r="F40" s="17" t="str">
        <x:v>Roberty, A. et al.</x:v>
      </x:c>
      <x:c r="G40" s="17" t="str">
        <x:v>2023</x:v>
      </x:c>
      <x:c r="H40" s="17" t="str">
        <x:v>ACM</x:v>
      </x:c>
      <x:c r="I40" s="17" t="str">
        <x:v>DRL for online 802.1Qbv configuration in reconfigurable production networks; learns GCL configuration without prior flow knowledge</x:v>
      </x:c>
      <x:c r="J40" s="17" t="str">
        <x:v>Handles open networks where flows change; avoids expensive ILP solver; reduces scheduling time in reconfigurable networks</x:v>
      </x:c>
      <x:c r="K40" s="17" t="str">
        <x:v>DRL configuration still has ms inference latency; industrial focus; no quantum priority class</x:v>
      </x:c>
      <x:c r="L40" s="17" t="str">
        <x:v>DRL-based TSN configuration. QFlow uses hardware FSM for deterministic GCL reconfiguration triggered by GA output.</x:v>
      </x:c>
      <x:c r="M40" s="17" t="str">
        <x:v>Configuring the IEEE 802.1Qbv Time-aware shaper with deep reinforcement learning</x:v>
      </x:c>
      <x:c r="N40" s="17" t="str">
        <x:v>Adrien Roberty; Siwar Ben Hadj Said; Frédéric Ridouard; Henri Bauer; Annie Geniet</x:v>
      </x:c>
      <x:c r="O40" s="17" t="str">
        <x:v>2023</x:v>
      </x:c>
      <x:c r="P40" s="17" t="str">
        <x:v>HAL preprint cea-04156793v1</x:v>
      </x:c>
      <x:c r="Q40" s="17" t="str">
        <x:v>D</x:v>
      </x:c>
      <x:c r="R40" s="17" t="str">
        <x:v>Deep-RL software; IEEE 802.1Qbv TSN scheduling</x:v>
      </x:c>
      <x:c r="S40" s="17" t="str">
        <x:v>Preprint/conference simulation</x:v>
      </x:c>
      <x:c r="T40" s="17" t="str">
        <x:v>Verified from official HAL record</x:v>
      </x:c>
      <x:c r="U40" s="17" t="str">
        <x:v>Identity and DRL scheduling scope verified</x:v>
      </x:c>
      <x:c r="V40" s="17" t="str">
        <x:v>No QFlow-equivalent measured decision latency</x:v>
      </x:c>
      <x:c r="W40" s="17" t="str">
        <x:v>https://cea.hal.science/cea-04156793</x:v>
      </x:c>
      <x:c r="X40" s="17" t="str">
        <x:v>HAL cea-04156793v1</x:v>
      </x:c>
      <x:c r="Y40" s="17" t="str">
        <x:v>Official institutional preprint record</x:v>
      </x:c>
      <x:c r="Z40" s="17" t="str">
        <x:v>2026-07-17</x:v>
      </x:c>
      <x:c r="AA40" s="17" t="str">
        <x:v>The work applies deep reinforcement learning to configuration of the IEEE 802.1Qbv time-aware shaper.</x:v>
      </x:c>
      <x:c r="AB40" s="17" t="str">
        <x:v>The audit retains only the verified DRL/TSN scheduling scope; workbook timing and superiority claims are not carried forward without exact result mapping.</x:v>
      </x:c>
      <x:c r="AC40" s="17" t="str">
        <x:v>Classical TSN problem, software learning and no QKD-specific objectives or FPGA routing datapath.</x:v>
      </x:c>
      <x:c r="AD40" s="17" t="str">
        <x:v>Class D adjacent scheduling context; not a direct baseline.</x:v>
      </x:c>
      <x:c r="AE40" s="17" t="str">
        <x:v>Verified with claim restriction</x:v>
      </x:c>
      <x:c r="AF40" s="17" t="str">
        <x:v>Workbook venue and quantitative claims were not source-mapped.</x:v>
      </x:c>
      <x:c r="AG40" s="17" t="str"/>
    </x:row>
    <x:row r="41">
      <x:c r="A41" s="17" t="str">
        <x:v>P038</x:v>
      </x:c>
      <x:c r="B41" s="17" t="str">
        <x:v>47</x:v>
      </x:c>
      <x:c r="C41" s="17" t="str">
        <x:v>38</x:v>
      </x:c>
      <x:c r="D41" s="17" t="str">
        <x:v>Network Processing Architecture</x:v>
      </x:c>
      <x:c r="E41" s="17" t="str">
        <x:v>P4-Based Programmable Data Plane for In-Network Computing</x:v>
      </x:c>
      <x:c r="F41" s="17" t="str">
        <x:v>Bosshart, P. et al.</x:v>
      </x:c>
      <x:c r="G41" s="17" t="str">
        <x:v>2014</x:v>
      </x:c>
      <x:c r="H41" s="17" t="str">
        <x:v>ACM SIGCOMM Computer Communication Review, 44(3)</x:v>
      </x:c>
      <x:c r="I41" s="17" t="str">
        <x:v>P4 language for programmable packet processing; match-action pipeline in network hardware; enables in-network ML inference</x:v>
      </x:c>
      <x:c r="J41" s="17" t="str">
        <x:v>Nanosecond-scale packet processing in ASIC/FPGA; enables routing decisions without CPU intervention; adopted by major switch vendors</x:v>
      </x:c>
      <x:c r="K41" s="17" t="str">
        <x:v>Fixed match-action pipeline; limited compute; no BRAM-based graph state; cannot run iterative optimization</x:v>
      </x:c>
      <x:c r="L41" s="17" t="str">
        <x:v>Demonstrates nanosecond data-plane routing decisions. QFlow extends this concept with a graph-state-aware routing engine specific to QKD.</x:v>
      </x:c>
      <x:c r="M41" s="17" t="str">
        <x:v>P4: Programming Protocol-Independent Packet Processors</x:v>
      </x:c>
      <x:c r="N41" s="17" t="str">
        <x:v>Pat Bosshart; Dan Daly; Glen Gibb; Martin Izzard; Nick McKeown; Jennifer Rexford; Cole Schlesinger; Dan Talayco; Amin Vahdat; George Varghese; David Walker</x:v>
      </x:c>
      <x:c r="O41" s="17" t="str">
        <x:v>2014</x:v>
      </x:c>
      <x:c r="P41" s="17" t="str">
        <x:v>ACM SIGCOMM Computer Communication Review 44(3), 87-95</x:v>
      </x:c>
      <x:c r="Q41" s="17" t="str">
        <x:v>D</x:v>
      </x:c>
      <x:c r="R41" s="17" t="str">
        <x:v>Target-independent programmable packet-processing language</x:v>
      </x:c>
      <x:c r="S41" s="17" t="str">
        <x:v>Architecture/language paper</x:v>
      </x:c>
      <x:c r="T41" s="17" t="str">
        <x:v>Workbook identity conflated; canonical P4 paper verified</x:v>
      </x:c>
      <x:c r="U41" s="17" t="str">
        <x:v>No in-network-computing or nanosecond result retained</x:v>
      </x:c>
      <x:c r="V41" s="17" t="str">
        <x:v>No QFlow-equivalent decision latency</x:v>
      </x:c>
      <x:c r="W41" s="17" t="str">
        <x:v>https://dl.acm.org/doi/10.1145/2656877.2656890</x:v>
      </x:c>
      <x:c r="X41" s="17" t="str">
        <x:v>10.1145/2656877.2656890</x:v>
      </x:c>
      <x:c r="Y41" s="17" t="str">
        <x:v>ACM publisher paper</x:v>
      </x:c>
      <x:c r="Z41" s="17" t="str">
        <x:v>2026-07-17</x:v>
      </x:c>
      <x:c r="AA41" s="17" t="str">
        <x:v>P4 proposes a high-level language for reconfigurable, protocol-independent and target-independent packet processors.</x:v>
      </x:c>
      <x:c r="AB41" s="17" t="str">
        <x:v>The paper is an architectural/language contribution; the workbook's in-network-computing title and nanosecond/throughput bundle are not its verified result.</x:v>
      </x:c>
      <x:c r="AC41" s="17" t="str">
        <x:v>P4 targets classical packet processing and does not implement QFlow's optimization kernel or QKD state model.</x:v>
      </x:c>
      <x:c r="AD41" s="17" t="str">
        <x:v>Class D programmable-data-plane precedent only.</x:v>
      </x:c>
      <x:c r="AE41" s="17" t="str">
        <x:v>Repaired to canonical source</x:v>
      </x:c>
      <x:c r="AF41" s="17" t="str">
        <x:v>Workbook title and quantitative claims conflated distinct P4 literature.</x:v>
      </x:c>
      <x:c r="AG41" s="17" t="str"/>
    </x:row>
    <x:row r="42">
      <x:c r="A42" s="17" t="str">
        <x:v>P039</x:v>
      </x:c>
      <x:c r="B42" s="17" t="str">
        <x:v>48</x:v>
      </x:c>
      <x:c r="C42" s="17" t="str">
        <x:v>39</x:v>
      </x:c>
      <x:c r="D42" s="17" t="str">
        <x:v>Network Processing Architecture</x:v>
      </x:c>
      <x:c r="E42" s="17" t="str">
        <x:v>Reconfigurable Network Processing at Line Rate: Challenges and Approaches</x:v>
      </x:c>
      <x:c r="F42" s="17" t="str">
        <x:v>Sivaraman, A. et al.</x:v>
      </x:c>
      <x:c r="G42" s="17" t="str">
        <x:v>2022</x:v>
      </x:c>
      <x:c r="H42" s="17" t="str">
        <x:v>IEEE Micro</x:v>
      </x:c>
      <x:c r="I42" s="17" t="str">
        <x:v>Survey of FPGA/ASIC network processor architectures for line-rate processing; pipeline depth analysis; resource-throughput trade-off</x:v>
      </x:c>
      <x:c r="J42" s="17" t="str">
        <x:v>Line-rate processing requires deep pipelining; BRAM-based state enables nanosecond graph lookups; FPGA achieves 100+ Gbps routing</x:v>
      </x:c>
      <x:c r="K42" s="17" t="str">
        <x:v>Classical networks focus; no quantum-specific considerations; no graph-based optimization</x:v>
      </x:c>
      <x:c r="L42" s="17" t="str">
        <x:v>Architecture foundation for QFlow. Confirms FPGA pipeline + BRAM is the right approach for nanosecond network processing.</x:v>
      </x:c>
      <x:c r="M42" s="17" t="str">
        <x:v>Packet Transactions: High-Level Programming for Line-Rate Switches</x:v>
      </x:c>
      <x:c r="N42" s="17" t="str">
        <x:v>Anirudh Sivaraman; Alvin Cheung; Mihai Budiu; Changhoon Kim; Mohammad Alizadeh; Hari Balakrishnan; George Varghese; Nick McKeown; Steve Licking</x:v>
      </x:c>
      <x:c r="O42" s="17" t="str">
        <x:v>2016</x:v>
      </x:c>
      <x:c r="P42" s="17" t="str">
        <x:v>ACM SIGCOMM 2016, 15-28</x:v>
      </x:c>
      <x:c r="Q42" s="17" t="str">
        <x:v>D</x:v>
      </x:c>
      <x:c r="R42" s="17" t="str">
        <x:v>Programmable line-rate switch chips</x:v>
      </x:c>
      <x:c r="S42" s="17" t="str">
        <x:v>Architecture/compiler evaluation</x:v>
      </x:c>
      <x:c r="T42" s="17" t="str">
        <x:v>Workbook citation not located; closest author-matched primary work substituted</x:v>
      </x:c>
      <x:c r="U42" s="17" t="str">
        <x:v>Line-rate compilation scope verified</x:v>
      </x:c>
      <x:c r="V42" s="17" t="str">
        <x:v>Packet-pipeline rate is not optimization-decision latency</x:v>
      </x:c>
      <x:c r="W42" s="17" t="str">
        <x:v>https://dl.acm.org/doi/10.1145/2934872.2934900</x:v>
      </x:c>
      <x:c r="X42" s="17" t="str">
        <x:v>10.1145/2934872.2934900</x:v>
      </x:c>
      <x:c r="Y42" s="17" t="str">
        <x:v>ACM publisher paper and author-hosted paper</x:v>
      </x:c>
      <x:c r="Z42" s="17" t="str">
        <x:v>2026-07-17</x:v>
      </x:c>
      <x:c r="AA42" s="17" t="str">
        <x:v>Packet transactions and a compiler express and map stateful data-plane algorithms to programmable line-rate switch chips.</x:v>
      </x:c>
      <x:c r="AB42" s="17" t="str">
        <x:v>The all-or-nothing compiler guarantee concerns accepted programs running at line rate; it is not a QKD-routing speed result.</x:v>
      </x:c>
      <x:c r="AC42" s="17" t="str">
        <x:v>The workbook's 2022 IEEE Micro title was not verified in exact-title/author searches. The substituted canonical source has a different identity and scope.</x:v>
      </x:c>
      <x:c r="AD42" s="17" t="str">
        <x:v>Class D high-speed data-plane architecture context only.</x:v>
      </x:c>
      <x:c r="AE42" s="17" t="str">
        <x:v>Repaired with replacement source</x:v>
      </x:c>
      <x:c r="AF42" s="17" t="str">
        <x:v>Original citation identity not verified; canonical Sivaraman line-rate work used as explicit replacement.</x:v>
      </x:c>
      <x:c r="AG42" s="17" t="str"/>
    </x:row>
    <x:row r="43">
      <x:c r="A43" s="17" t="str">
        <x:v>P040</x:v>
      </x:c>
      <x:c r="B43" s="17" t="str">
        <x:v>50</x:v>
      </x:c>
      <x:c r="C43" s="17" t="str">
        <x:v>40</x:v>
      </x:c>
      <x:c r="D43" s="17" t="str">
        <x:v>FPGA Math &amp; DSP</x:v>
      </x:c>
      <x:c r="E43" s="17" t="str">
        <x:v>Piecewise-Linear Approximation of Mathematical Functions in FPGA: Survey and Design Methodology</x:v>
      </x:c>
      <x:c r="F43" s="17" t="str">
        <x:v>Dong, Y. et al.</x:v>
      </x:c>
      <x:c r="G43" s="17" t="str">
        <x:v>2021</x:v>
      </x:c>
      <x:c r="H43" s="17" t="str">
        <x:v>IEEE Transactions on VLSI Systems</x:v>
      </x:c>
      <x:c r="I43" s="17" t="str">
        <x:v>Survey and methodology for LUT-based piecewise-linear approximation of transcendental functions (exp, log, trig) in FPGA using fixed-point arithmetic</x:v>
      </x:c>
      <x:c r="J43" s="17" t="str">
        <x:v>Error &lt; 0.1% achievable with 256-entry LUT; Q0.16 fixed-point sufficient for most signal processing; DSP slices minimize resource usage</x:v>
      </x:c>
      <x:c r="K43" s="17" t="str">
        <x:v>Accuracy/resource trade-off must be characterized per application; overflow handling required</x:v>
      </x:c>
      <x:c r="L43" s="17" t="str">
        <x:v>Direct methodology for QFlow's FDPE exponential decay LUT (256-entry, Q0.16, &lt;0.1% error as specified in the architecture plan).</x:v>
      </x:c>
      <x:c r="M43" s="17" t="str">
        <x:v>Piecewise-Linear Approximation of Mathematical Functions in FPGA: Survey and Design Methodology</x:v>
      </x:c>
      <x:c r="N43" s="17" t="str">
        <x:v>Unverified (workbook lists Dong et al.)</x:v>
      </x:c>
      <x:c r="O43" s="17" t="str">
        <x:v>2021</x:v>
      </x:c>
      <x:c r="P43" s="17" t="str">
        <x:v>Unverified (workbook lists IEEE TVLSI)</x:v>
      </x:c>
      <x:c r="Q43" s="17" t="str">
        <x:v>D</x:v>
      </x:c>
      <x:c r="R43" s="17" t="str">
        <x:v>Unverified workbook citation</x:v>
      </x:c>
      <x:c r="S43" s="17" t="str">
        <x:v>Publisher-search exclusion record</x:v>
      </x:c>
      <x:c r="T43" s="17" t="str">
        <x:v>Exact citation not verified</x:v>
      </x:c>
      <x:c r="U43" s="17" t="str">
        <x:v>No workbook metric retained</x:v>
      </x:c>
      <x:c r="V43" s="17" t="str">
        <x:v>Not reported</x:v>
      </x:c>
      <x:c r="W43" s="17" t="str">
        <x:v>https://ieeexplore.ieee.org/search/searchresult.jsp?queryText=%22Piecewise-Linear%20Approximation%20of%20Mathematical%20Functions%20in%20FPGA%22</x:v>
      </x:c>
      <x:c r="X43" s="17" t="str">
        <x:v>No DOI located for exact workbook citation</x:v>
      </x:c>
      <x:c r="Y43" s="17" t="str">
        <x:v>Exact-title IEEE publisher search</x:v>
      </x:c>
      <x:c r="Z43" s="17" t="str">
        <x:v>2026-07-17</x:v>
      </x:c>
      <x:c r="AA43" s="17" t="str">
        <x:v>The workbook describes piecewise-linear function approximation on FPGA, but the cited title/author/venue combination was not verified.</x:v>
      </x:c>
      <x:c r="AB43" s="17" t="str">
        <x:v>All claimed accuracy, resource and latency figures are excluded from the controlled evidence set.</x:v>
      </x:c>
      <x:c r="AC43" s="17" t="str">
        <x:v>No attributable primary source means the row cannot support implementation or performance claims.</x:v>
      </x:c>
      <x:c r="AD43" s="17" t="str">
        <x:v>Exclude from defense evidence; a separately sourced fixed-point/PWL implementation may be added later as Class D context.</x:v>
      </x:c>
      <x:c r="AE43" s="17" t="str">
        <x:v>Excluded - identity not verified</x:v>
      </x:c>
      <x:c r="AF43" s="17" t="str">
        <x:v>Exact-title and publisher searches did not establish the cited work.</x:v>
      </x:c>
      <x:c r="AG43" s="17" t="str"/>
    </x:row>
    <x:row r="44">
      <x:c r="A44" s="17" t="str">
        <x:v>P041</x:v>
      </x:c>
      <x:c r="B44" s="17" t="str">
        <x:v>51</x:v>
      </x:c>
      <x:c r="C44" s="17" t="str">
        <x:v>41</x:v>
      </x:c>
      <x:c r="D44" s="17" t="str">
        <x:v>FPGA Math &amp; DSP</x:v>
      </x:c>
      <x:c r="E44" s="17" t="str">
        <x:v>Hardware-Efficient Random Number Generation for FPGAs: Xorshift and LFSR Comparison</x:v>
      </x:c>
      <x:c r="F44" s="17" t="str">
        <x:v>Marsaglia, G. et al. (and follow-up hardware implementations)</x:v>
      </x:c>
      <x:c r="G44" s="17" t="str">
        <x:v>2020</x:v>
      </x:c>
      <x:c r="H44" s="17" t="str">
        <x:v>ACM Transactions on Reconfigurable Technology</x:v>
      </x:c>
      <x:c r="I44" s="17" t="str">
        <x:v>Xorshift128+ PRNG implementation on FPGA; period 2^128-1; hardware-friendly XOR+shift operations; statistical quality vs LFSR comparison</x:v>
      </x:c>
      <x:c r="J44" s="17" t="str">
        <x:v>Xorshift128+ passes all NIST statistical tests; 1 random number per clock at 200 MHz; 3× better statistical quality than LFSR of same size</x:v>
      </x:c>
      <x:c r="K44" s="17" t="str">
        <x:v>Cryptographically not secure; period finite; multiple instances need different seeds</x:v>
      </x:c>
      <x:c r="L44" s="17" t="str">
        <x:v>Directly used in QFlow PMO-GA random path generation. Justifies Xorshift128+ choice over LFSR as stated in the plan.</x:v>
      </x:c>
      <x:c r="M44" s="17" t="str">
        <x:v>Hardware-Efficient Random Number Generation for FPGAs: Xorshift and LFSR Comparison</x:v>
      </x:c>
      <x:c r="N44" s="17" t="str">
        <x:v>Unverified (workbook lists Marsaglia et al.)</x:v>
      </x:c>
      <x:c r="O44" s="17" t="str">
        <x:v>2020</x:v>
      </x:c>
      <x:c r="P44" s="17" t="str">
        <x:v>Unverified (workbook lists ACM TRETS)</x:v>
      </x:c>
      <x:c r="Q44" s="17" t="str">
        <x:v>D</x:v>
      </x:c>
      <x:c r="R44" s="17" t="str">
        <x:v>Unverified workbook citation</x:v>
      </x:c>
      <x:c r="S44" s="17" t="str">
        <x:v>Publisher-search exclusion record</x:v>
      </x:c>
      <x:c r="T44" s="17" t="str">
        <x:v>Exact citation not verified</x:v>
      </x:c>
      <x:c r="U44" s="17" t="str">
        <x:v>No workbook metric retained</x:v>
      </x:c>
      <x:c r="V44" s="17" t="str">
        <x:v>Not reported</x:v>
      </x:c>
      <x:c r="W44" s="17" t="str">
        <x:v>https://dl.acm.org/action/doSearch?AllField=%22Hardware-Efficient+Random+Number+Generation+for+FPGAs%22</x:v>
      </x:c>
      <x:c r="X44" s="17" t="str">
        <x:v>No DOI located for exact workbook citation</x:v>
      </x:c>
      <x:c r="Y44" s="17" t="str">
        <x:v>Exact-title ACM publisher search</x:v>
      </x:c>
      <x:c r="Z44" s="17" t="str">
        <x:v>2026-07-17</x:v>
      </x:c>
      <x:c r="AA44" s="17" t="str">
        <x:v>The workbook describes FPGA pseudorandom-number generation, but the cited title/author/venue combination was not verified.</x:v>
      </x:c>
      <x:c r="AB44" s="17" t="str">
        <x:v>All claimed period, resource, throughput and statistical-quality figures are excluded.</x:v>
      </x:c>
      <x:c r="AC44" s="17" t="str">
        <x:v>Marsaglia's xorshift work and FPGA RNG surveys exist, but that does not verify this composite citation.</x:v>
      </x:c>
      <x:c r="AD44" s="17" t="str">
        <x:v>Exclude from defense evidence; only independently sourced RNG implementation results may be used.</x:v>
      </x:c>
      <x:c r="AE44" s="17" t="str">
        <x:v>Excluded - identity not verified</x:v>
      </x:c>
      <x:c r="AF44" s="17" t="str">
        <x:v>Exact-title and publisher searches did not establish the cited work.</x:v>
      </x:c>
      <x:c r="AG44" s="17" t="str"/>
    </x:row>
    <x:row r="45">
      <x:c r="A45" s="17" t="str">
        <x:v>P042</x:v>
      </x:c>
      <x:c r="B45" s="17" t="str">
        <x:v>53</x:v>
      </x:c>
      <x:c r="C45" s="17" t="str">
        <x:v>42</x:v>
      </x:c>
      <x:c r="D45" s="17" t="str">
        <x:v>Quantum Network Simulation</x:v>
      </x:c>
      <x:c r="E45" s="17" t="str">
        <x:v>A Survey of Quantum Key Distribution (QKD) Network Simulation Platforms</x:v>
      </x:c>
      <x:c r="F45" s="17" t="str">
        <x:v>Multiple authors</x:v>
      </x:c>
      <x:c r="G45" s="17" t="str">
        <x:v>2021</x:v>
      </x:c>
      <x:c r="H45" s="17" t="str">
        <x:v>IEEE International Conference on High Performance Switching and Routing (HPSR)</x:v>
      </x:c>
      <x:c r="I45" s="17" t="str">
        <x:v>Survey of simulation tools for QKD networks: NS-3 QKD module, OMNeT++ QKD, SimQN, NetSquid; comparison of capabilities</x:v>
      </x:c>
      <x:c r="J45" s="17" t="str">
        <x:v>OMNeT++ most flexible for protocol development; NS-3 integrates with classical network simulation; SimQN fastest for large-scale</x:v>
      </x:c>
      <x:c r="K45" s="17" t="str">
        <x:v>Survey only; no performance comparison; simulation fidelity varies across platforms</x:v>
      </x:c>
      <x:c r="L45" s="17" t="str">
        <x:v>Justifies OMNeT++ choice for Phase 4 simulation in QFlow plan. Survey confirms OMNeT++ is standard for QKD network research.</x:v>
      </x:c>
      <x:c r="M45" s="17" t="str">
        <x:v>A Survey of Quantum Key Distribution (QKD) Network Simulation Platforms</x:v>
      </x:c>
      <x:c r="N45" s="17" t="str">
        <x:v>Aravind Aji; Kurunandan Jain; Prabhakar Krishnan</x:v>
      </x:c>
      <x:c r="O45" s="17" t="str">
        <x:v>2021</x:v>
      </x:c>
      <x:c r="P45" s="17" t="str">
        <x:v>2021 2nd Global Conference for Advancement in Technology (GCAT)</x:v>
      </x:c>
      <x:c r="Q45" s="17" t="str">
        <x:v>D</x:v>
      </x:c>
      <x:c r="R45" s="17" t="str">
        <x:v>Survey of QKD-network simulation tools</x:v>
      </x:c>
      <x:c r="S45" s="17" t="str">
        <x:v>Conference survey</x:v>
      </x:c>
      <x:c r="T45" s="17" t="str">
        <x:v>Verified from IEEE record</x:v>
      </x:c>
      <x:c r="U45" s="17" t="str">
        <x:v>Identity, authors and conference corrected</x:v>
      </x:c>
      <x:c r="V45" s="17" t="str">
        <x:v>No routing-decision latency</x:v>
      </x:c>
      <x:c r="W45" s="17" t="str">
        <x:v>https://ieeexplore.ieee.org/document/9587708</x:v>
      </x:c>
      <x:c r="X45" s="17" t="str">
        <x:v>10.1109/GCAT52182.2021.9587708</x:v>
      </x:c>
      <x:c r="Y45" s="17" t="str">
        <x:v>IEEE publisher record</x:v>
      </x:c>
      <x:c r="Z45" s="17" t="str">
        <x:v>2026-07-17</x:v>
      </x:c>
      <x:c r="AA45" s="17" t="str">
        <x:v>The survey profiles QKD-network simulation frameworks and their capabilities.</x:v>
      </x:c>
      <x:c r="AB45" s="17" t="str">
        <x:v>Survey comparison only; no FPGA routing measurement or same-workload baseline is reported.</x:v>
      </x:c>
      <x:c r="AC45" s="17" t="str">
        <x:v>The workbook's 'multiple authors' and IEEE HPSR venue are incorrect.</x:v>
      </x:c>
      <x:c r="AD45" s="17" t="str">
        <x:v>Class D simulator-selection and validation context.</x:v>
      </x:c>
      <x:c r="AE45" s="17" t="str">
        <x:v>Verified with bibliographic correction</x:v>
      </x:c>
      <x:c r="AF45" s="17" t="str">
        <x:v>Authors, venue and DOI corrected.</x:v>
      </x:c>
      <x:c r="AG45" s="17" t="str"/>
    </x:row>
    <x:row r="46">
      <x:c r="A46" s="17" t="str">
        <x:v>P043</x:v>
      </x:c>
      <x:c r="B46" s="17" t="str">
        <x:v>54</x:v>
      </x:c>
      <x:c r="C46" s="17" t="str">
        <x:v>43</x:v>
      </x:c>
      <x:c r="D46" s="17" t="str">
        <x:v>Quantum Network Simulation</x:v>
      </x:c>
      <x:c r="E46" s="17" t="str">
        <x:v>NetSquid: A Network Simulator for Quantum Information using Discrete Events</x:v>
      </x:c>
      <x:c r="F46" s="17" t="str">
        <x:v>Coopmans, T. et al.</x:v>
      </x:c>
      <x:c r="G46" s="17" t="str">
        <x:v>2021</x:v>
      </x:c>
      <x:c r="H46" s="17" t="str">
        <x:v>Communications Physics, 4(1), Nature</x:v>
      </x:c>
      <x:c r="I46" s="17" t="str">
        <x:v>Discrete-event quantum network simulator; models entanglement generation, decoherence, quantum memory, measurement; Python-based</x:v>
      </x:c>
      <x:c r="J46" s="17" t="str">
        <x:v>Sub-second simulation of 25-node networks; validated against analytical models; models T1/T2 decoherence times</x:v>
      </x:c>
      <x:c r="K46" s="17" t="str">
        <x:v>Entanglement-focused (not QKD key distribution specifically); Python overhead limits large-scale simulations</x:v>
      </x:c>
      <x:c r="L46" s="17" t="str">
        <x:v>Decoherence model (T1/T2 times) directly informs QFlow's FDPE exponential decay model. Key parameter T2 for coherence time.</x:v>
      </x:c>
      <x:c r="M46" s="17" t="str">
        <x:v>NetSquid, a NETwork Simulator for QUantum Information using Discrete events</x:v>
      </x:c>
      <x:c r="N46" s="17" t="str">
        <x:v>Tim Coopmans; Robert Knegjens; Axel Dahlberg; David Maier; Loek Nijsten; Julio de Oliveira Filho; Martijn Papendrecht; Julian Rabbie; Filip Rozpędek; Matthew Skrzypczyk; Leon Wubben; Walter de Jong; Damian Podareanu; Ariana Torres-Knoop; David Elkouss; Stephanie Wehner</x:v>
      </x:c>
      <x:c r="O46" s="17" t="str">
        <x:v>2021</x:v>
      </x:c>
      <x:c r="P46" s="17" t="str">
        <x:v>Communications Physics 4, Article 164</x:v>
      </x:c>
      <x:c r="Q46" s="17" t="str">
        <x:v>D</x:v>
      </x:c>
      <x:c r="R46" s="17" t="str">
        <x:v>Python/Cython discrete-event quantum-network simulator</x:v>
      </x:c>
      <x:c r="S46" s="17" t="str">
        <x:v>Simulator paper and use cases</x:v>
      </x:c>
      <x:c r="T46" s="17" t="str">
        <x:v>Verified from publisher full text</x:v>
      </x:c>
      <x:c r="U46" s="17" t="str">
        <x:v>Simulator scope and up-to-1000-node example verified</x:v>
      </x:c>
      <x:c r="V46" s="17" t="str">
        <x:v>Simulation runtime is not routing-decision latency</x:v>
      </x:c>
      <x:c r="W46" s="17" t="str">
        <x:v>https://www.nature.com/articles/s42005-021-00647-8</x:v>
      </x:c>
      <x:c r="X46" s="17" t="str">
        <x:v>10.1038/s42005-021-00647-8</x:v>
      </x:c>
      <x:c r="Y46" s="17" t="str">
        <x:v>Publisher full text</x:v>
      </x:c>
      <x:c r="Z46" s="17" t="str">
        <x:v>2026-07-17</x:v>
      </x:c>
      <x:c r="AA46" s="17" t="str">
        <x:v>NetSquid is a modular discrete-event simulator spanning quantum physical models, control protocols and applications.</x:v>
      </x:c>
      <x:c r="AB46" s="17" t="str">
        <x:v>The paper demonstrates use cases including repeater chains and a scalability example up to 1000 nodes.</x:v>
      </x:c>
      <x:c r="AC46" s="17" t="str">
        <x:v>Simulator scale and execution time are experimental-model properties, not FPGA routing latency or throughput.</x:v>
      </x:c>
      <x:c r="AD46" s="17" t="str">
        <x:v>Class D simulation-platform context; useful for future matched network experiments.</x:v>
      </x:c>
      <x:c r="AE46" s="17" t="str">
        <x:v>Verified with title normalization</x:v>
      </x:c>
      <x:c r="AF46" s="17" t="str">
        <x:v>Title normalized to the publisher version.</x:v>
      </x:c>
      <x:c r="AG46" s="17" t="str"/>
    </x:row>
    <x:row r="47">
      <x:c r="A47" s="17" t="str">
        <x:v>P044</x:v>
      </x:c>
      <x:c r="B47" s="17" t="str">
        <x:v>56</x:v>
      </x:c>
      <x:c r="C47" s="17" t="str">
        <x:v>44</x:v>
      </x:c>
      <x:c r="D47" s="17" t="str">
        <x:v>QKD Physical Layer &amp; KMS</x:v>
      </x:c>
      <x:c r="E47" s="17" t="str">
        <x:v>Information Reconciliation of CV-QKD: Principles, Implementations and Applications</x:v>
      </x:c>
      <x:c r="F47" s="17" t="str">
        <x:v>Sun, S. et al.</x:v>
      </x:c>
      <x:c r="G47" s="17" t="str">
        <x:v>2023</x:v>
      </x:c>
      <x:c r="H47" s="17" t="str">
        <x:v>EPJ Quantum Technology, 10(1), 40, Springer</x:v>
      </x:c>
      <x:c r="I47" s="17" t="str">
        <x:v>Survey of reconciliation schemes: slice, multidimensional, LDPC/polar codes; hardware acceleration on FPGA and GPU; rate-compatible codes</x:v>
      </x:c>
      <x:c r="J47" s="17" t="str">
        <x:v>FPGA achieves 10–100× speedup over CPU for IR; LDPC codes dominate; hardware rate-compatible codes enable adaptive systems</x:v>
      </x:c>
      <x:c r="K47" s="17" t="str">
        <x:v>Physical layer only; no routing; no key management after IR; no network-layer awareness</x:v>
      </x:c>
      <x:c r="L47" s="17" t="str">
        <x:v>Establishes FPGA for QKD physical layer. QFlow is positioned as the natural next layer above IR in FPGA-accelerated QKD stack.</x:v>
      </x:c>
      <x:c r="M47" s="17" t="str">
        <x:v>Information reconciliation of continuous-variables quantum key distribution: principles, implementations and applications</x:v>
      </x:c>
      <x:c r="N47" s="17" t="str">
        <x:v>Shenshen Yang; Zhilei Yan; Hongzhao Yang; Qing Lu; Zhenguo Lu; Liuyong Cheng; Xiangyang Miao; Yongmin Li</x:v>
      </x:c>
      <x:c r="O47" s="17" t="str">
        <x:v>2023</x:v>
      </x:c>
      <x:c r="P47" s="17" t="str">
        <x:v>EPJ Quantum Technology 10, Article 40</x:v>
      </x:c>
      <x:c r="Q47" s="17" t="str">
        <x:v>D</x:v>
      </x:c>
      <x:c r="R47" s="17" t="str">
        <x:v>Review of CV-QKD reconciliation software/hardware</x:v>
      </x:c>
      <x:c r="S47" s="17" t="str">
        <x:v>Review article</x:v>
      </x:c>
      <x:c r="T47" s="17" t="str">
        <x:v>Verified from publisher full text</x:v>
      </x:c>
      <x:c r="U47" s="17" t="str">
        <x:v>Identity and review scope verified</x:v>
      </x:c>
      <x:c r="V47" s="17" t="str">
        <x:v>Routing-decision latency not applicable</x:v>
      </x:c>
      <x:c r="W47" s="17" t="str">
        <x:v>https://link.springer.com/article/10.1140/epjqt/s40507-023-00197-8</x:v>
      </x:c>
      <x:c r="X47" s="17" t="str">
        <x:v>10.1140/epjqt/s40507-023-00197-8</x:v>
      </x:c>
      <x:c r="Y47" s="17" t="str">
        <x:v>Publisher full text</x:v>
      </x:c>
      <x:c r="Z47" s="17" t="str">
        <x:v>2026-07-17</x:v>
      </x:c>
      <x:c r="AA47" s="17" t="str">
        <x:v>The review covers CV-QKD information-reconciliation principles, codes, rate compatibility and hardware acceleration.</x:v>
      </x:c>
      <x:c r="AB47" s="17" t="str">
        <x:v>It summarizes component throughput, efficiency and frame-error-rate concerns; it does not report QKD route selection.</x:v>
      </x:c>
      <x:c r="AC47" s="17" t="str">
        <x:v>Post-processing review only; component throughput cannot be used as routing-decision latency.</x:v>
      </x:c>
      <x:c r="AD47" s="17" t="str">
        <x:v>Class D QKD post-processing and hardware-acceleration context.</x:v>
      </x:c>
      <x:c r="AE47" s="17" t="str">
        <x:v>Verified with bibliographic correction</x:v>
      </x:c>
      <x:c r="AF47" s="17" t="str">
        <x:v>Full authorship and exact publisher title supplied.</x:v>
      </x:c>
      <x:c r="AG47" s="17" t="str"/>
    </x:row>
    <x:row r="48">
      <x:c r="A48" s="17" t="str">
        <x:v>P045</x:v>
      </x:c>
      <x:c r="B48" s="17" t="str">
        <x:v>57</x:v>
      </x:c>
      <x:c r="C48" s="17" t="str">
        <x:v>45</x:v>
      </x:c>
      <x:c r="D48" s="17" t="str">
        <x:v>QKD Physical Layer &amp; KMS</x:v>
      </x:c>
      <x:c r="E48" s="17" t="str">
        <x:v>Quantum Key Distribution: A Networking Perspective</x:v>
      </x:c>
      <x:c r="F48" s="17" t="str">
        <x:v>Mehic, M. et al.</x:v>
      </x:c>
      <x:c r="G48" s="17" t="str">
        <x:v>2020</x:v>
      </x:c>
      <x:c r="H48" s="17" t="str">
        <x:v>ACM Computing Surveys (CSUR), 53(5), 1–41</x:v>
      </x:c>
      <x:c r="I48" s="17" t="str">
        <x:v>Survey of QKD networking: protocols, key management systems, routing, SDN integration, security analysis; 10+ year literature review</x:v>
      </x:c>
      <x:c r="J48" s="17" t="str">
        <x:v>Key management identified as central networking challenge; routing bottleneck at SDN controller; fidelity/QBER as key routing metrics</x:v>
      </x:c>
      <x:c r="K48" s="17" t="str">
        <x:v>2020 survey; misses 2023–2025 advances; no hardware dataplane routing considered; SDN assumed as routing paradigm</x:v>
      </x:c>
      <x:c r="L48" s="17" t="str">
        <x:v>Foundational networking survey for QKD. Explicitly identifies the software routing bottleneck that QFlow addresses.</x:v>
      </x:c>
      <x:c r="M48" s="17" t="str">
        <x:v>Quantum Key Distribution: A Networking Perspective</x:v>
      </x:c>
      <x:c r="N48" s="17" t="str">
        <x:v>Miralem Mehic; Marcin Niemiec; Stefan Rass; Jiajun Ma; Momtchil Peev; Alejandro Aguado; Vicente Martin; Stefan Schauer; Andreas Poppe; Christoph Pacher; Miroslav Voznak</x:v>
      </x:c>
      <x:c r="O48" s="17" t="str">
        <x:v>2020</x:v>
      </x:c>
      <x:c r="P48" s="17" t="str">
        <x:v>ACM Computing Surveys 53(5), Article 96, 1-41</x:v>
      </x:c>
      <x:c r="Q48" s="17" t="str">
        <x:v>D</x:v>
      </x:c>
      <x:c r="R48" s="17" t="str">
        <x:v>Survey of QKD networking</x:v>
      </x:c>
      <x:c r="S48" s="17" t="str">
        <x:v>Survey article</x:v>
      </x:c>
      <x:c r="T48" s="17" t="str">
        <x:v>Verified from ACM publisher record</x:v>
      </x:c>
      <x:c r="U48" s="17" t="str">
        <x:v>Identity, authorship and survey scope verified</x:v>
      </x:c>
      <x:c r="V48" s="17" t="str">
        <x:v>No single routing-decision latency</x:v>
      </x:c>
      <x:c r="W48" s="17" t="str">
        <x:v>https://dl.acm.org/doi/10.1145/3402192</x:v>
      </x:c>
      <x:c r="X48" s="17" t="str">
        <x:v>10.1145/3402192</x:v>
      </x:c>
      <x:c r="Y48" s="17" t="str">
        <x:v>ACM publisher record</x:v>
      </x:c>
      <x:c r="Z48" s="17" t="str">
        <x:v>2026-07-17</x:v>
      </x:c>
      <x:c r="AA48" s="17" t="str">
        <x:v>The survey reviews QKD networking architecture, protocols, deployments and engineering challenges.</x:v>
      </x:c>
      <x:c r="AB48" s="17" t="str">
        <x:v>Survey evidence only; it does not establish a measured same-function FPGA routing baseline.</x:v>
      </x:c>
      <x:c r="AC48" s="17" t="str">
        <x:v>Broad networking perspective and heterogeneous cited systems prevent raw latency or performance comparison.</x:v>
      </x:c>
      <x:c r="AD48" s="17" t="str">
        <x:v>Class D QKD networking background and taxonomy.</x:v>
      </x:c>
      <x:c r="AE48" s="17" t="str">
        <x:v>Verified with full authorship</x:v>
      </x:c>
      <x:c r="AF48" s="17" t="str">
        <x:v>Workbook's abbreviated authorship expanded.</x:v>
      </x:c>
      <x:c r="AG48" s="17" t="str"/>
    </x:row>
    <x:row r="49">
      <x:c r="A49" s="17" t="str">
        <x:v>P046</x:v>
      </x:c>
      <x:c r="B49" s="17" t="str">
        <x:v>59</x:v>
      </x:c>
      <x:c r="C49" s="17" t="str">
        <x:v>46</x:v>
      </x:c>
      <x:c r="D49" s="17" t="str">
        <x:v>Multi-Objective Optimization</x:v>
      </x:c>
      <x:c r="E49" s="17" t="str">
        <x:v>NSGA-II: A Fast and Elitist Multiobjective Genetic Algorithm</x:v>
      </x:c>
      <x:c r="F49" s="17" t="str">
        <x:v>Deb, K.; Pratap, A.; Agarwal, S.; Meyarivan, T.</x:v>
      </x:c>
      <x:c r="G49" s="17" t="str">
        <x:v>2002</x:v>
      </x:c>
      <x:c r="H49" s="17" t="str">
        <x:v>IEEE Transactions on Evolutionary Computation, 6(2), 182–197</x:v>
      </x:c>
      <x:c r="I49" s="17" t="str">
        <x:v>Non-dominated Sorting GA II (NSGA-II); fast non-dominated sort O(MN²); crowding distance; elitism; Pareto-front convergence</x:v>
      </x:c>
      <x:c r="J49" s="17" t="str">
        <x:v>Converges to true Pareto front; better diversity than NSGA-I; outperforms PAES and SPEA on benchmark MOPs</x:v>
      </x:c>
      <x:c r="K49" s="17" t="str">
        <x:v>Computationally expensive sorting; CPU-based; quadratic complexity in population size; not hardware-pipelined</x:v>
      </x:c>
      <x:c r="L49" s="17" t="str">
        <x:v>Foundation for QFlow's PMO-GA Pareto dominance comparators. Hardware parallel comparators replace NSGA-II's sequential sort.</x:v>
      </x:c>
      <x:c r="M49" s="17" t="str">
        <x:v>A Fast and Elitist Multiobjective Genetic Algorithm: NSGA-II</x:v>
      </x:c>
      <x:c r="N49" s="17" t="str">
        <x:v>Kalyanmoy Deb; Amrit Pratap; Sameer Agarwal; T. Meyarivan</x:v>
      </x:c>
      <x:c r="O49" s="17" t="str">
        <x:v>2002</x:v>
      </x:c>
      <x:c r="P49" s="17" t="str">
        <x:v>IEEE Transactions on Evolutionary Computation 6(2), 182-197</x:v>
      </x:c>
      <x:c r="Q49" s="17" t="str">
        <x:v>D</x:v>
      </x:c>
      <x:c r="R49" s="17" t="str">
        <x:v>Software algorithm/reference method</x:v>
      </x:c>
      <x:c r="S49" s="17" t="str">
        <x:v>Algorithm paper</x:v>
      </x:c>
      <x:c r="T49" s="17" t="str">
        <x:v>Verified from IEEE publisher record</x:v>
      </x:c>
      <x:c r="U49" s="17" t="str">
        <x:v>Complexity and algorithm identity verified</x:v>
      </x:c>
      <x:c r="V49" s="17" t="str">
        <x:v>No hardware routing-decision latency</x:v>
      </x:c>
      <x:c r="W49" s="17" t="str">
        <x:v>https://ieeexplore.ieee.org/document/996017</x:v>
      </x:c>
      <x:c r="X49" s="17" t="str">
        <x:v>10.1109/4235.996017</x:v>
      </x:c>
      <x:c r="Y49" s="17" t="str">
        <x:v>IEEE publisher record</x:v>
      </x:c>
      <x:c r="Z49" s="17" t="str">
        <x:v>2026-07-17</x:v>
      </x:c>
      <x:c r="AA49" s="17" t="str">
        <x:v>NSGA-II introduces fast nondominated sorting, elitism and crowding-based diversity preservation.</x:v>
      </x:c>
      <x:c r="AB49" s="17" t="str">
        <x:v>Its reported algorithmic complexity is O(MN^2), improving on earlier O(MN^3) nondominated sorting.</x:v>
      </x:c>
      <x:c r="AC49" s="17" t="str">
        <x:v>Canonical software algorithm, not an FPGA QKD-routing implementation or measured hardware baseline.</x:v>
      </x:c>
      <x:c r="AD49" s="17" t="str">
        <x:v>Class D algorithm foundation for QFlow's multi-objective design.</x:v>
      </x:c>
      <x:c r="AE49" s="17" t="str">
        <x:v>Verified</x:v>
      </x:c>
      <x:c r="AF49" s="17" t="str"/>
      <x:c r="AG49" s="17" t="str">
        <x:v>Use algorithm attribution, not performance superiority evidence.</x:v>
      </x:c>
    </x:row>
    <x:row r="50">
      <x:c r="A50" s="17" t="str">
        <x:v>P047</x:v>
      </x:c>
      <x:c r="B50" s="17" t="str">
        <x:v>60</x:v>
      </x:c>
      <x:c r="C50" s="17" t="str">
        <x:v>47</x:v>
      </x:c>
      <x:c r="D50" s="17" t="str">
        <x:v>Multi-Objective Optimization</x:v>
      </x:c>
      <x:c r="E50" s="17" t="str">
        <x:v>MOEA/D: A Multi-Objective Evolutionary Algorithm Based on Decomposition</x:v>
      </x:c>
      <x:c r="F50" s="17" t="str">
        <x:v>Zhang, Q.; Li, H.</x:v>
      </x:c>
      <x:c r="G50" s="17" t="str">
        <x:v>2007</x:v>
      </x:c>
      <x:c r="H50" s="17" t="str">
        <x:v>IEEE Transactions on Evolutionary Computation, 11(6), 712–731</x:v>
      </x:c>
      <x:c r="I50" s="17" t="str">
        <x:v>Tchebycheff decomposition converts MOP into scalar subproblems; neighborhood-based selection; competitive with NSGA-II on DTLZ benchmarks</x:v>
      </x:c>
      <x:c r="J50" s="17" t="str">
        <x:v>Competitive with NSGA-II; better hypervolume on some benchmarks; Tchebycheff decomposition enables tunable objective weighting</x:v>
      </x:c>
      <x:c r="K50" s="17" t="str">
        <x:v>Requires manual weight vector specification; neighborhood size tuning needed; CPU-based</x:v>
      </x:c>
      <x:c r="L50" s="17" t="str">
        <x:v>Direct mathematical basis for QFlow's hardware Tchebycheff decomposition. The plan explicitly cites this decomposition method.</x:v>
      </x:c>
      <x:c r="M50" s="17" t="str">
        <x:v>MOEA/D: A Multiobjective Evolutionary Algorithm Based on Decomposition</x:v>
      </x:c>
      <x:c r="N50" s="17" t="str">
        <x:v>Qingfu Zhang; Hui Li</x:v>
      </x:c>
      <x:c r="O50" s="17" t="str">
        <x:v>2007</x:v>
      </x:c>
      <x:c r="P50" s="17" t="str">
        <x:v>IEEE Transactions on Evolutionary Computation 11(6), 712-731</x:v>
      </x:c>
      <x:c r="Q50" s="17" t="str">
        <x:v>D</x:v>
      </x:c>
      <x:c r="R50" s="17" t="str">
        <x:v>Software algorithm/reference method</x:v>
      </x:c>
      <x:c r="S50" s="17" t="str">
        <x:v>Algorithm paper</x:v>
      </x:c>
      <x:c r="T50" s="17" t="str">
        <x:v>Verified from IEEE publisher record</x:v>
      </x:c>
      <x:c r="U50" s="17" t="str">
        <x:v>Method identity and decomposition scope verified</x:v>
      </x:c>
      <x:c r="V50" s="17" t="str">
        <x:v>No hardware routing-decision latency</x:v>
      </x:c>
      <x:c r="W50" s="17" t="str">
        <x:v>https://ieeexplore.ieee.org/document/4358754</x:v>
      </x:c>
      <x:c r="X50" s="17" t="str">
        <x:v>10.1109/TEVC.2007.892759</x:v>
      </x:c>
      <x:c r="Y50" s="17" t="str">
        <x:v>IEEE publisher record</x:v>
      </x:c>
      <x:c r="Z50" s="17" t="str">
        <x:v>2026-07-17</x:v>
      </x:c>
      <x:c r="AA50" s="17" t="str">
        <x:v>MOEA/D decomposes a multi-objective problem into scalar subproblems optimized collaboratively.</x:v>
      </x:c>
      <x:c r="AB50" s="17" t="str">
        <x:v>The paper reports comparative algorithm performance; no FPGA QKD-routing metric is supplied.</x:v>
      </x:c>
      <x:c r="AC50" s="17" t="str">
        <x:v>Canonical software algorithm with different operators and execution boundaries from QFlow.</x:v>
      </x:c>
      <x:c r="AD50" s="17" t="str">
        <x:v>Class D multi-objective algorithm context.</x:v>
      </x:c>
      <x:c r="AE50" s="17" t="str">
        <x:v>Verified</x:v>
      </x:c>
      <x:c r="AF50" s="17" t="str"/>
      <x:c r="AG50" s="17" t="str"/>
    </x:row>
    <x:row r="51">
      <x:c r="A51" s="17" t="str">
        <x:v>P048</x:v>
      </x:c>
      <x:c r="B51" s="17" t="str">
        <x:v>61</x:v>
      </x:c>
      <x:c r="C51" s="17" t="str">
        <x:v>48</x:v>
      </x:c>
      <x:c r="D51" s="17" t="str">
        <x:v>Multi-Objective Optimization</x:v>
      </x:c>
      <x:c r="E51" s="17" t="str">
        <x:v>Multi-Objective Optimization for Network Routing: A Survey</x:v>
      </x:c>
      <x:c r="F51" s="17" t="str">
        <x:v>Multiple authors</x:v>
      </x:c>
      <x:c r="G51" s="17" t="str">
        <x:v>2022</x:v>
      </x:c>
      <x:c r="H51" s="17" t="str">
        <x:v>Computer Networks, Elsevier</x:v>
      </x:c>
      <x:c r="I51" s="17" t="str">
        <x:v>Survey of multi-objective routing optimization: formulations, metaheuristics (GA, PSO, ACO), exact methods, approximation algorithms</x:v>
      </x:c>
      <x:c r="J51" s="17" t="str">
        <x:v>MO routing NP-hard in general; GA achieves near-Pareto-optimal solutions; 3-objective formulations cover latency+load+quality</x:v>
      </x:c>
      <x:c r="K51" s="17" t="str">
        <x:v>Classical network routing focus; no quantum-specific constraints; no hardware acceleration</x:v>
      </x:c>
      <x:c r="L51" s="17" t="str">
        <x:v>Establishes NP-hardness and GA appropriateness for 3-objective routing — directly supports QFlow's algorithmic choices.</x:v>
      </x:c>
      <x:c r="M51" s="17" t="str">
        <x:v>Objectives and methods in multi-objective routing problems: a survey and classification scheme</x:v>
      </x:c>
      <x:c r="N51" s="17" t="str">
        <x:v>Sandra Zajac; Sandra Huber</x:v>
      </x:c>
      <x:c r="O51" s="17" t="str">
        <x:v>2021</x:v>
      </x:c>
      <x:c r="P51" s="17" t="str">
        <x:v>European Journal of Operational Research 290(1), 1-25</x:v>
      </x:c>
      <x:c r="Q51" s="17" t="str">
        <x:v>D</x:v>
      </x:c>
      <x:c r="R51" s="17" t="str">
        <x:v>Survey of application-oriented multi-objective routing</x:v>
      </x:c>
      <x:c r="S51" s="17" t="str">
        <x:v>Survey article</x:v>
      </x:c>
      <x:c r="T51" s="17" t="str">
        <x:v>Workbook citation not verified; closest authoritative survey substituted</x:v>
      </x:c>
      <x:c r="U51" s="17" t="str">
        <x:v>Survey scope and classification verified</x:v>
      </x:c>
      <x:c r="V51" s="17" t="str">
        <x:v>No hardware routing-decision latency</x:v>
      </x:c>
      <x:c r="W51" s="17" t="str">
        <x:v>https://www.sciencedirect.com/science/article/pii/S0377221720306160</x:v>
      </x:c>
      <x:c r="X51" s="17" t="str">
        <x:v>10.1016/j.ejor.2020.07.005</x:v>
      </x:c>
      <x:c r="Y51" s="17" t="str">
        <x:v>Publisher survey record</x:v>
      </x:c>
      <x:c r="Z51" s="17" t="str">
        <x:v>2026-07-17</x:v>
      </x:c>
      <x:c r="AA51" s="17" t="str">
        <x:v>The survey classifies objectives, problem elements, fitness assignment and search strategies across application-oriented multi-objective routing.</x:v>
      </x:c>
      <x:c r="AB51" s="17" t="str">
        <x:v>It surveys more than 100 contributions and identifies objective categories and research gaps; it does not benchmark QKD hardware.</x:v>
      </x:c>
      <x:c r="AC51" s="17" t="str">
        <x:v>The workbook's generic 2022 Computer Networks citation was not verified and is replaced explicitly, not treated as the same work.</x:v>
      </x:c>
      <x:c r="AD51" s="17" t="str">
        <x:v>Class D multi-objective routing taxonomy and method context.</x:v>
      </x:c>
      <x:c r="AE51" s="17" t="str">
        <x:v>Repaired with replacement source</x:v>
      </x:c>
      <x:c r="AF51" s="17" t="str">
        <x:v>Original title/venue/authorship was not identifiable; authoritative topical survey substituted.</x:v>
      </x:c>
      <x:c r="AG51" s="17" t="str"/>
    </x:row>
    <x:row r="52">
      <x:c r="A52" s="17" t="str">
        <x:v>P049</x:v>
      </x:c>
      <x:c r="B52" s="17" t="str">
        <x:v>63</x:v>
      </x:c>
      <x:c r="C52" s="17" t="str">
        <x:v>49</x:v>
      </x:c>
      <x:c r="D52" s="17" t="str">
        <x:v>Complexity Theory &amp; Routing</x:v>
      </x:c>
      <x:c r="E52" s="17" t="str">
        <x:v>Computers and Intractability: A Guide to the Theory of NP-Completeness</x:v>
      </x:c>
      <x:c r="F52" s="17" t="str">
        <x:v>Garey, M.R.; Johnson, D.S.</x:v>
      </x:c>
      <x:c r="G52" s="17" t="str">
        <x:v>1979</x:v>
      </x:c>
      <x:c r="H52" s="17" t="str">
        <x:v>W.H. Freeman &amp; Co. (Textbook)</x:v>
      </x:c>
      <x:c r="I52" s="17" t="str">
        <x:v>Reference establishing NP-completeness proofs; includes Constrained Shortest Path (CSP) as NP-hard problem</x:v>
      </x:c>
      <x:c r="J52" s="17" t="str">
        <x:v>CSP NP-hard by reduction from 3SAT; Hamiltonian path problems NP-complete; polynomial-time algorithms for special cases only</x:v>
      </x:c>
      <x:c r="K52" s="17" t="str">
        <x:v>Classic reference; no quantum applications</x:v>
      </x:c>
      <x:c r="L52" s="17" t="str">
        <x:v>CITED IN QFLOW PLAN for NP-hardness argument. Section 3.6 reduction from CSP to QKRP requires this foundational reference.</x:v>
      </x:c>
      <x:c r="M52" s="17" t="str">
        <x:v>Computers and Intractability: A Guide to the Theory of NP-Completeness</x:v>
      </x:c>
      <x:c r="N52" s="17" t="str">
        <x:v>Michael R. Garey; David S. Johnson</x:v>
      </x:c>
      <x:c r="O52" s="17" t="str">
        <x:v>1979</x:v>
      </x:c>
      <x:c r="P52" s="17" t="str">
        <x:v>W. H. Freeman</x:v>
      </x:c>
      <x:c r="Q52" s="17" t="str">
        <x:v>D</x:v>
      </x:c>
      <x:c r="R52" s="17" t="str">
        <x:v>Complexity-theory monograph</x:v>
      </x:c>
      <x:c r="S52" s="17" t="str">
        <x:v>Foundational book</x:v>
      </x:c>
      <x:c r="T52" s="17" t="str">
        <x:v>Verified standard monograph identity</x:v>
      </x:c>
      <x:c r="U52" s="17" t="str">
        <x:v>No QFlow-specific metric</x:v>
      </x:c>
      <x:c r="V52" s="17" t="str">
        <x:v>Not applicable</x:v>
      </x:c>
      <x:c r="W52" s="17" t="str">
        <x:v>https://books.google.com/books?vid=ISBN0716710455</x:v>
      </x:c>
      <x:c r="X52" s="17" t="str">
        <x:v>ISBN 978-0-7167-1045-5</x:v>
      </x:c>
      <x:c r="Y52" s="17" t="str">
        <x:v>Book bibliographic record</x:v>
      </x:c>
      <x:c r="Z52" s="17" t="str">
        <x:v>2026-07-17</x:v>
      </x:c>
      <x:c r="AA52" s="17" t="str">
        <x:v>The monograph establishes standard NP-completeness concepts and reductions for combinatorial optimization.</x:v>
      </x:c>
      <x:c r="AB52" s="17" t="str">
        <x:v>No QKD, FPGA or measured routing performance is reported.</x:v>
      </x:c>
      <x:c r="AC52" s="17" t="str">
        <x:v>Foundational complexity reference only; it cannot prove the exact hardness of a QFlow formulation without a formulation-specific reduction.</x:v>
      </x:c>
      <x:c r="AD52" s="17" t="str">
        <x:v>Class D theoretical background.</x:v>
      </x:c>
      <x:c r="AE52" s="17" t="str">
        <x:v>Verified</x:v>
      </x:c>
      <x:c r="AF52" s="17" t="str"/>
      <x:c r="AG52" s="17" t="str"/>
    </x:row>
    <x:row r="53">
      <x:c r="A53" s="17" t="str">
        <x:v>P050</x:v>
      </x:c>
      <x:c r="B53" s="17" t="str">
        <x:v>64</x:v>
      </x:c>
      <x:c r="C53" s="17" t="str">
        <x:v>50</x:v>
      </x:c>
      <x:c r="D53" s="17" t="str">
        <x:v>Complexity Theory &amp; Routing</x:v>
      </x:c>
      <x:c r="E53" s="17" t="str">
        <x:v>The Constrained Shortest Path Problem: Hardness and Approximation</x:v>
      </x:c>
      <x:c r="F53" s="17" t="str">
        <x:v>Hassin, R.</x:v>
      </x:c>
      <x:c r="G53" s="17" t="str">
        <x:v>1992</x:v>
      </x:c>
      <x:c r="H53" s="17" t="str">
        <x:v>Mathematics of Operations Research, 17(3)</x:v>
      </x:c>
      <x:c r="I53" s="17" t="str">
        <x:v>Formal proof that CSP (shortest path subject to second cost ≤ budget) is weakly NP-hard; FPTAS exists for fixed number of constraints</x:v>
      </x:c>
      <x:c r="J53" s="17" t="str">
        <x:v>CSP is NP-hard even with single additional constraint; FPTAS: (1+ε)-approximation in polynomial time</x:v>
      </x:c>
      <x:c r="K53" s="17" t="str">
        <x:v>Classic theoretical paper; no quantum applications; FPTAS too slow for real-time hardware</x:v>
      </x:c>
      <x:c r="L53" s="17" t="str">
        <x:v>Strengthens QFlow's NP-hardness argument and justifies metaheuristic (GA) over exact methods for the QKRP.</x:v>
      </x:c>
      <x:c r="M53" s="17" t="str">
        <x:v>Approximation Schemes for the Restricted Shortest Path Problem</x:v>
      </x:c>
      <x:c r="N53" s="17" t="str">
        <x:v>Refael Hassin</x:v>
      </x:c>
      <x:c r="O53" s="17" t="str">
        <x:v>1992</x:v>
      </x:c>
      <x:c r="P53" s="17" t="str">
        <x:v>Mathematics of Operations Research 17(1), 36-42</x:v>
      </x:c>
      <x:c r="Q53" s="17" t="str">
        <x:v>D</x:v>
      </x:c>
      <x:c r="R53" s="17" t="str">
        <x:v>Restricted-shortest-path approximation algorithms</x:v>
      </x:c>
      <x:c r="S53" s="17" t="str">
        <x:v>Theory paper</x:v>
      </x:c>
      <x:c r="T53" s="17" t="str">
        <x:v>Verified from INFORMS publisher record</x:v>
      </x:c>
      <x:c r="U53" s="17" t="str">
        <x:v>Title, DOI and FPTAS scope verified</x:v>
      </x:c>
      <x:c r="V53" s="17" t="str">
        <x:v>Not applicable</x:v>
      </x:c>
      <x:c r="W53" s="17" t="str">
        <x:v>https://pubsonline.informs.org/doi/10.1287/moor.17.1.36</x:v>
      </x:c>
      <x:c r="X53" s="17" t="str">
        <x:v>10.1287/moor.17.1.36</x:v>
      </x:c>
      <x:c r="Y53" s="17" t="str">
        <x:v>Publisher full record</x:v>
      </x:c>
      <x:c r="Z53" s="17" t="str">
        <x:v>2026-07-17</x:v>
      </x:c>
      <x:c r="AA53" s="17" t="str">
        <x:v>The note presents two fully polynomial approximation schemes for shortest path with an additional constraint.</x:v>
      </x:c>
      <x:c r="AB53" s="17" t="str">
        <x:v>Theoretical approximation guarantees are provided; there is no FPGA or QKD experiment.</x:v>
      </x:c>
      <x:c r="AC53" s="17" t="str">
        <x:v>The workbook title and issue were incorrect, and the paper is not itself a hardware or routing-latency baseline.</x:v>
      </x:c>
      <x:c r="AD53" s="17" t="str">
        <x:v>Class D constrained-routing theory context.</x:v>
      </x:c>
      <x:c r="AE53" s="17" t="str">
        <x:v>Verified with bibliographic correction</x:v>
      </x:c>
      <x:c r="AF53" s="17" t="str">
        <x:v>Correct title and issue supplied.</x:v>
      </x:c>
      <x:c r="AG53" s="17" t="str"/>
    </x:row>
  </x:sheetData>
  <x:mergeCells>
    <x:mergeCell ref="A1:AG1"/>
    <x:mergeCell ref="A2:AG2"/>
  </x:mergeCells>
  <x:pageMargins left="0.7" right="0.7" top="0.75" bottom="0.75" header="0.3" footer="0.3"/>
  <x:tableParts count="1">
    <x:tablePart xmlns:r="http://schemas.openxmlformats.org/officeDocument/2006/relationships" r:id="Rdad7c11d45164a4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67" hidden="0" customWidth="1"/>
    <x:col min="3" max="3" width="20" hidden="0" customWidth="1"/>
    <x:col min="4" max="4" width="65" hidden="0" customWidth="1"/>
  </x:cols>
  <x:sheetData>
    <x:row r="1" ht="30" customHeight="1">
      <x:c r="A1" s="38" t="str">
        <x:v>Corrected Workbook — Provenance and Use Rules</x:v>
      </x:c>
      <x:c r="B1" s="38" t="str">
        <x:v>Corrected Workbook — Provenance and Use Rules</x:v>
      </x:c>
      <x:c r="C1" s="38" t="str">
        <x:v>Corrected Workbook — Provenance and Use Rules</x:v>
      </x:c>
      <x:c r="D1" s="38" t="str">
        <x:v>Corrected Workbook — Provenance and Use Rules</x:v>
      </x:c>
    </x:row>
    <x:row r="2" ht="28" customHeight="1">
      <x:c r="A2" s="9" t="str">
        <x:v>This workbook is a derived P1 evidence artifact. The registered original XLSX remains immutable.</x:v>
      </x:c>
      <x:c r="B2" s="9" t="str">
        <x:v>This workbook is a derived P1 evidence artifact. The registered original XLSX remains immutable.</x:v>
      </x:c>
      <x:c r="C2" s="9" t="str">
        <x:v>This workbook is a derived P1 evidence artifact. The registered original XLSX remains immutable.</x:v>
      </x:c>
      <x:c r="D2" s="9" t="str">
        <x:v>This workbook is a derived P1 evidence artifact. The registered original XLSX remains immutable.</x:v>
      </x:c>
    </x:row>
    <x:row r="3" ht="32" customHeight="1">
      <x:c r="A3" s="14" t="str">
        <x:v>Item</x:v>
      </x:c>
      <x:c r="B3" s="14" t="str">
        <x:v>Value</x:v>
      </x:c>
      <x:c r="C3" s="14" t="str">
        <x:v>Status</x:v>
      </x:c>
      <x:c r="D3" s="14" t="str">
        <x:v>Use Rule</x:v>
      </x:c>
    </x:row>
    <x:row r="4">
      <x:c r="A4" s="17" t="str">
        <x:v>Source workbook</x:v>
      </x:c>
      <x:c r="B4" s="17" t="str">
        <x:v>QFlow_Literature_Review_Matrix_original.xlsx</x:v>
      </x:c>
      <x:c r="C4" s="24" t="str">
        <x:v>IMMUTABLE</x:v>
      </x:c>
      <x:c r="D4" s="17" t="str">
        <x:v>Retain under literature/p1/source; never overwrite.</x:v>
      </x:c>
    </x:row>
    <x:row r="5">
      <x:c r="A5" s="17" t="str">
        <x:v>Source SHA-256</x:v>
      </x:c>
      <x:c r="B5" s="17" t="str">
        <x:v>45f7f4f544897998f5f869a4d2904fd3755eae9a440903fa016a6969c6b97df1</x:v>
      </x:c>
      <x:c r="C5" s="24" t="str">
        <x:v>PASS</x:v>
      </x:c>
      <x:c r="D5" s="17" t="str">
        <x:v>Must match before this corrected artifact is registered.</x:v>
      </x:c>
    </x:row>
    <x:row r="6">
      <x:c r="A6" s="17" t="str">
        <x:v>Final paper audit SHA-256</x:v>
      </x:c>
      <x:c r="B6" s="17" t="str">
        <x:v>c35b626f628fd0e72aaf7b9763733184473686ebe78977b468ea0c8edd68ae61</x:v>
      </x:c>
      <x:c r="C6" s="24" t="str">
        <x:v>PASS</x:v>
      </x:c>
      <x:c r="D6" s="17" t="str">
        <x:v>Must match the completed 50-row P1 audit.</x:v>
      </x:c>
    </x:row>
    <x:row r="7">
      <x:c r="A7" s="17" t="str">
        <x:v>Paper verification</x:v>
      </x:c>
      <x:c r="B7" s="17" t="str">
        <x:v>50/50</x:v>
      </x:c>
      <x:c r="C7" s="24" t="str">
        <x:v>COMPLETE</x:v>
      </x:c>
      <x:c r="D7" s="17" t="str">
        <x:v>Every paper has a disposition and comparison class.</x:v>
      </x:c>
    </x:row>
    <x:row r="8">
      <x:c r="A8" s="17" t="str">
        <x:v>Published Class A records</x:v>
      </x:c>
      <x:c r="B8" s="17" t="str">
        <x:v>0</x:v>
      </x:c>
      <x:c r="C8" s="24" t="str">
        <x:v>SEARCH-BOUNDED</x:v>
      </x:c>
      <x:c r="D8" s="17" t="str">
        <x:v>No same-board published counterpart identified in this audit.</x:v>
      </x:c>
    </x:row>
    <x:row r="9">
      <x:c r="A9" s="17" t="str">
        <x:v>Published Class B records</x:v>
      </x:c>
      <x:c r="B9" s="17" t="str">
        <x:v>0</x:v>
      </x:c>
      <x:c r="C9" s="24" t="str">
        <x:v>SEARCH-BOUNDED</x:v>
      </x:c>
      <x:c r="D9" s="17" t="str">
        <x:v>No same-function CPU/FPGA counterpart identified in this audit.</x:v>
      </x:c>
    </x:row>
    <x:row r="10">
      <x:c r="A10" s="17" t="str">
        <x:v>Published Class C records</x:v>
      </x:c>
      <x:c r="B10" s="17" t="str">
        <x:v>21</x:v>
      </x:c>
      <x:c r="C10" s="24" t="str">
        <x:v>CONTROLLED</x:v>
      </x:c>
      <x:c r="D10" s="17" t="str">
        <x:v>Use only for matched network-utility comparisons.</x:v>
      </x:c>
    </x:row>
    <x:row r="11">
      <x:c r="A11" s="17" t="str">
        <x:v>Published Class D records</x:v>
      </x:c>
      <x:c r="B11" s="17" t="str">
        <x:v>29</x:v>
      </x:c>
      <x:c r="C11" s="24" t="str">
        <x:v>CONTROLLED</x:v>
      </x:c>
      <x:c r="D11" s="17" t="str">
        <x:v>Use only for component, architecture, method or feasibility context.</x:v>
      </x:c>
    </x:row>
    <x:row r="12">
      <x:c r="A12" s="17" t="str">
        <x:v>Latency rule</x:v>
      </x:c>
      <x:c r="B12" s="17" t="str">
        <x:v>Measured/reported values only</x:v>
      </x:c>
      <x:c r="C12" s="24" t="str">
        <x:v>MANDATORY</x:v>
      </x:c>
      <x:c r="D12" s="17" t="str">
        <x:v>If decision runtime is absent, state “not reported.”</x:v>
      </x:c>
    </x:row>
    <x:row r="13">
      <x:c r="A13" s="17" t="str">
        <x:v>Speedup rule</x:v>
      </x:c>
      <x:c r="B13" s="17" t="str">
        <x:v>No heterogeneous cross-paper ratio</x:v>
      </x:c>
      <x:c r="C13" s="24" t="str">
        <x:v>MANDATORY</x:v>
      </x:c>
      <x:c r="D13" s="17" t="str">
        <x:v>Class B requires identical function and fixed-point vectors.</x:v>
      </x:c>
    </x:row>
    <x:row r="14">
      <x:c r="A14" s="17" t="str">
        <x:v>Novelty rule</x:v>
      </x:c>
      <x:c r="B14" s="17" t="str">
        <x:v>Search-bounded wording only</x:v>
      </x:c>
      <x:c r="C14" s="24" t="str">
        <x:v>MANDATORY</x:v>
      </x:c>
      <x:c r="D14" s="17" t="str">
        <x:v>Do not claim universal priority from this matrix.</x:v>
      </x:c>
    </x:row>
    <x:row r="15">
      <x:c r="A15" s="17" t="str">
        <x:v>P1 exit gate</x:v>
      </x:c>
      <x:c r="B15" s="17" t="str">
        <x:v>Corrected matrix complete; defense response still required</x:v>
      </x:c>
      <x:c r="C15" s="24" t="str">
        <x:v>IN PROGRESS</x:v>
      </x:c>
      <x:c r="D15" s="17" t="str">
        <x:v>Do not mark P1 complete until defense-response synthesis is controlled.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8c2c783fbba4973"/>
  </x:tableParts>
</x:worksheet>
</file>